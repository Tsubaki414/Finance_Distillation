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c4239b1fb6f47fe" /></Relationships>
</file>

<file path=xl/workbook.xml><?xml version="1.0" encoding="utf-8"?>
<x:workbook xmlns:x="http://schemas.openxmlformats.org/spreadsheetml/2006/main">
  <x:sheets>
    <x:sheet xmlns:r="http://schemas.openxmlformats.org/officeDocument/2006/relationships" name="KOL名单" sheetId="1" r:id="R7e939df1e61c458f"/>
    <x:sheet xmlns:r="http://schemas.openxmlformats.org/officeDocument/2006/relationships" name="机构名单" sheetId="2" r:id="Rafff87ccb479413c"/>
    <x:sheet xmlns:r="http://schemas.openxmlformats.org/officeDocument/2006/relationships" name="Proxy Roots" sheetId="3" r:id="Rb324a069e43c483e"/>
    <x:sheet xmlns:r="http://schemas.openxmlformats.org/officeDocument/2006/relationships" name="口径说明" sheetId="4" r:id="R146d3edac64f47a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8"/>
      <x:color rgb="FFFFFFFF"/>
      <x:name val="Arial"/>
    </x:font>
    <x:font>
      <x:i/>
      <x:sz val="10"/>
      <x:color rgb="FF526273"/>
      <x:name val="Arial"/>
    </x:font>
    <x:font>
      <x:b/>
      <x:sz val="10"/>
      <x:color rgb="FFFFFFFF"/>
      <x:name val="Arial"/>
    </x:font>
    <x:font>
      <x:b/>
      <x:sz val="12"/>
      <x:color rgb="FF172033"/>
      <x:name val="Arial"/>
    </x:font>
    <x:font>
      <x:sz val="10"/>
      <x:color rgb="FF7C5A00"/>
      <x:name val="Arial"/>
    </x:font>
    <x:font>
      <x:sz val="9"/>
      <x:color rgb="FF172033"/>
      <x:name val="Arial"/>
    </x:font>
  </x:fonts>
  <x:fills count="6">
    <x:fill>
      <x:patternFill patternType="none"/>
    </x:fill>
    <x:fill>
      <x:patternFill patternType="gray125"/>
    </x:fill>
    <x:fill>
      <x:patternFill patternType="solid">
        <x:fgColor rgb="FF0F172A"/>
      </x:patternFill>
    </x:fill>
    <x:fill>
      <x:patternFill patternType="solid">
        <x:fgColor rgb="FFE6F4F3"/>
      </x:patternFill>
    </x:fill>
    <x:fill>
      <x:patternFill patternType="solid">
        <x:fgColor rgb="FFFFF7D6"/>
      </x:patternFill>
    </x:fill>
    <x:fill>
      <x:patternFill patternType="solid">
        <x:fgColor rgb="FF0F7C82"/>
      </x:patternFill>
    </x:fill>
  </x:fills>
  <x:borders count="3">
    <x:border/>
    <x:border>
      <x:bottom style="medium">
        <x:color rgb="FF0F172A"/>
      </x:bottom>
    </x:border>
    <x:border>
      <x:bottom style="thin">
        <x:color rgb="FFB8C7D9"/>
      </x:bottom>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4" fillId="3" borderId="0" xfId="0" applyNumberFormat="1" applyFont="1" applyFill="1" applyBorder="1"/>
    <x:xf numFmtId="0" fontId="4" fillId="3" borderId="0" xfId="0" applyNumberFormat="1" applyFont="1" applyFill="1" applyBorder="1" applyAlignment="1">
      <x:alignment horizontal="center"/>
    </x:xf>
    <x:xf numFmtId="0" fontId="4" fillId="3" borderId="0" xfId="0" applyNumberFormat="1" applyFont="1" applyFill="1" applyBorder="1" applyAlignment="1">
      <x:alignment horizontal="center" vertical="center"/>
    </x:xf>
    <x:xf numFmtId="0" fontId="0" fillId="4" borderId="0" xfId="0" applyNumberFormat="1" applyFont="1" applyFill="1" applyBorder="1"/>
    <x:xf numFmtId="0" fontId="5" fillId="4" borderId="0"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wrapText="1"/>
    </x:xf>
    <x:xf numFmtId="0" fontId="3" fillId="5" borderId="1" xfId="0" applyNumberFormat="1" applyFont="1" applyFill="1" applyBorder="1" applyAlignment="1">
      <x:alignment horizontal="center" wrapText="1"/>
    </x:xf>
    <x:xf numFmtId="0" fontId="3" fillId="5" borderId="1" xfId="0" applyNumberFormat="1" applyFont="1" applyFill="1" applyBorder="1" applyAlignment="1">
      <x:alignment horizontal="center" vertical="center" wrapText="1"/>
    </x:xf>
    <x:xf numFmtId="0" fontId="6" fillId="0" borderId="0" xfId="0" applyNumberFormat="1" applyFont="1" applyFill="1" applyBorder="1"/>
    <x:xf numFmtId="0" fontId="6" fillId="0" borderId="2" xfId="0" applyNumberFormat="1" applyFont="1" applyFill="1" applyBorder="1"/>
    <x:xf numFmtId="0" fontId="6" fillId="0" borderId="0" xfId="0" applyNumberFormat="1" applyFont="1" applyFill="1" applyBorder="1" applyAlignment="1">
      <x:alignment wrapText="1"/>
    </x:xf>
    <x:xf numFmtId="0" fontId="6" fillId="0" borderId="2" xfId="0" applyNumberFormat="1" applyFont="1" applyFill="1" applyBorder="1" applyAlignment="1">
      <x:alignment wrapText="1"/>
    </x:xf>
    <x:xf numFmtId="0" fontId="6" fillId="0" borderId="0" xfId="0" applyNumberFormat="1" applyFont="1" applyFill="1" applyBorder="1" applyAlignment="1">
      <x:alignment vertical="top" wrapText="1"/>
    </x:xf>
    <x:xf numFmtId="0" fontId="6" fillId="0" borderId="2" xfId="0" applyNumberFormat="1" applyFont="1" applyFill="1" applyBorder="1" applyAlignment="1">
      <x:alignment vertical="top" wrapText="1"/>
    </x:xf>
    <x:xf numFmtId="200" fontId="6" fillId="0" borderId="0" xfId="0" applyNumberFormat="1" applyFont="1" applyFill="1" applyBorder="1" applyAlignment="1">
      <x:alignment vertical="top" wrapText="1"/>
    </x:xf>
    <x:xf numFmtId="200" fontId="6" fillId="0" borderId="2" xfId="0" applyNumberFormat="1" applyFont="1" applyFill="1" applyBorder="1" applyAlignment="1">
      <x:alignment vertical="top" wrapText="1"/>
    </x:xf>
  </x:cellXfs>
  <x:cellStyles count="1">
    <x:cellStyle name="Normal" xfId="0"/>
  </x:cellStyles>
  <x:dxfs count="10">
    <x:dxf>
      <x:font>
        <x:b/>
        <x:color rgb="FF166534"/>
      </x:font>
      <x:fill>
        <x:patternFill patternType="solid">
          <x:bgColor rgb="FFE8F5E9"/>
        </x:patternFill>
      </x:fill>
    </x:dxf>
    <x:dxf>
      <x:font>
        <x:b/>
        <x:color rgb="FF92400E"/>
      </x:font>
      <x:fill>
        <x:patternFill patternType="solid">
          <x:bgColor rgb="FFFFF7D6"/>
        </x:patternFill>
      </x:fill>
    </x:dxf>
    <x:dxf>
      <x:font>
        <x:b/>
        <x:color rgb="FF991B1B"/>
      </x:font>
      <x:fill>
        <x:patternFill patternType="solid">
          <x:bgColor rgb="FFFDECEC"/>
        </x:patternFill>
      </x:fill>
    </x:dxf>
    <x:dxf>
      <x:font>
        <x:b/>
        <x:color rgb="FF5B21B6"/>
      </x:font>
      <x:fill>
        <x:patternFill patternType="solid">
          <x:bgColor rgb="FFEDE9FE"/>
        </x:patternFill>
      </x:fill>
    </x:dxf>
    <x:dxf>
      <x:font>
        <x:b/>
        <x:color rgb="FF166534"/>
      </x:font>
      <x:fill>
        <x:patternFill patternType="solid">
          <x:bgColor rgb="FFE8F5E9"/>
        </x:patternFill>
      </x:fill>
    </x:dxf>
    <x:dxf>
      <x:font>
        <x:b/>
        <x:color rgb="FF92400E"/>
      </x:font>
      <x:fill>
        <x:patternFill patternType="solid">
          <x:bgColor rgb="FFFFF7D6"/>
        </x:patternFill>
      </x:fill>
    </x:dxf>
    <x:dxf>
      <x:font>
        <x:b/>
        <x:color rgb="FF991B1B"/>
      </x:font>
      <x:fill>
        <x:patternFill patternType="solid">
          <x:bgColor rgb="FFFDECEC"/>
        </x:patternFill>
      </x:fill>
    </x:dxf>
    <x:dxf>
      <x:font>
        <x:b/>
        <x:color rgb="FF166534"/>
      </x:font>
      <x:fill>
        <x:patternFill patternType="solid">
          <x:bgColor rgb="FFE8F5E9"/>
        </x:patternFill>
      </x:fill>
    </x:dxf>
    <x:dxf>
      <x:font>
        <x:b/>
        <x:color rgb="FF92400E"/>
      </x:font>
      <x:fill>
        <x:patternFill patternType="solid">
          <x:bgColor rgb="FFFFF7D6"/>
        </x:patternFill>
      </x:fill>
    </x:dxf>
    <x:dxf>
      <x:font>
        <x:b/>
        <x:color rgb="FF991B1B"/>
      </x:font>
      <x:fill>
        <x:patternFill patternType="solid">
          <x:bgColor rgb="FFFDEC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4623772894646e5" /><Relationship Type="http://schemas.openxmlformats.org/officeDocument/2006/relationships/theme" Target="/xl/theme/theme1.xml" Id="Rf02769f154844d0d" /><Relationship Type="http://schemas.openxmlformats.org/officeDocument/2006/relationships/sharedStrings" Target="/xl/sharedStrings.xml" Id="Rff8ff0171bb44d9e" /><Relationship Type="http://schemas.openxmlformats.org/officeDocument/2006/relationships/worksheet" Target="/xl/worksheets/sheet1.xml" Id="R7e939df1e61c458f" /><Relationship Type="http://schemas.openxmlformats.org/officeDocument/2006/relationships/worksheet" Target="/xl/worksheets/sheet2.xml" Id="Rafff87ccb479413c" /><Relationship Type="http://schemas.openxmlformats.org/officeDocument/2006/relationships/worksheet" Target="/xl/worksheets/sheet3.xml" Id="Rb324a069e43c483e" /><Relationship Type="http://schemas.openxmlformats.org/officeDocument/2006/relationships/worksheet" Target="/xl/worksheets/sheet4.xml" Id="R146d3edac64f47a6" /></Relationships>
</file>

<file path=xl/tables/table1.xml><?xml version="1.0" encoding="utf-8"?>
<x:table xmlns:x="http://schemas.openxmlformats.org/spreadsheetml/2006/main" id="1" name="MangoFinanceKOLList" displayName="MangoFinanceKOLList" ref="A7:P108" headerRowCount="1" totalsRowCount="0" totalsRowShown="0">
  <x:tableColumns count="16">
    <x:tableColumn id="1" name="平台"/>
    <x:tableColumn id="2" name="账号 / KOL"/>
    <x:tableColumn id="3" name="主页链接"/>
    <x:tableColumn id="4" name="粉丝 / 受众"/>
    <x:tableColumn id="5" name="语言"/>
    <x:tableColumn id="6" name="市场"/>
    <x:tableColumn id="7" name="Lane"/>
    <x:tableColumn id="8" name="名单类型"/>
    <x:tableColumn id="9" name="优先级"/>
    <x:tableColumn id="10" name="当前审计决定"/>
    <x:tableColumn id="11" name="商务就绪"/>
    <x:tableColumn id="12" name="报价"/>
    <x:tableColumn id="13" name="联系方式"/>
    <x:tableColumn id="14" name="跟进状态"/>
    <x:tableColumn id="15" name="备注"/>
    <x:tableColumn id="16" name="Entity ID"/>
  </x:tableColumns>
  <x:tableStyleInfo name="TableStyleMedium2" showFirstColumn="0" showLastColumn="0" showRowStripes="1" showColumnStripes="0"/>
</x:table>
</file>

<file path=xl/tables/table2.xml><?xml version="1.0" encoding="utf-8"?>
<x:table xmlns:x="http://schemas.openxmlformats.org/spreadsheetml/2006/main" id="2" name="MangoFinanceInstitutionList" displayName="MangoFinanceInstitutionList" ref="A7:P54" headerRowCount="1" totalsRowCount="0" totalsRowShown="0">
  <x:tableColumns count="16">
    <x:tableColumn id="1" name="平台 / 渠道"/>
    <x:tableColumn id="2" name="机构名称"/>
    <x:tableColumn id="3" name="官网"/>
    <x:tableColumn id="4" name="语言"/>
    <x:tableColumn id="5" name="市场"/>
    <x:tableColumn id="6" name="机构类型"/>
    <x:tableColumn id="7" name="Finance覆盖 / Lane"/>
    <x:tableColumn id="8" name="优先级"/>
    <x:tableColumn id="9" name="当前审计决定"/>
    <x:tableColumn id="10" name="商务就绪"/>
    <x:tableColumn id="11" name="报价"/>
    <x:tableColumn id="12" name="联系方式"/>
    <x:tableColumn id="13" name="Roster / 关系状态"/>
    <x:tableColumn id="14" name="跟进状态"/>
    <x:tableColumn id="15" name="备注"/>
    <x:tableColumn id="16" name="Entity ID"/>
  </x:tableColumns>
  <x:tableStyleInfo name="TableStyleMedium2" showFirstColumn="0" showLastColumn="0" showRowStripes="1" showColumnStripes="0"/>
</x:table>
</file>

<file path=xl/tables/table3.xml><?xml version="1.0" encoding="utf-8"?>
<x:table xmlns:x="http://schemas.openxmlformats.org/spreadsheetml/2006/main" id="3" name="ProxyRootMap" displayName="ProxyRootMap" ref="A5:O17" headerRowCount="1" totalsRowCount="0" totalsRowShown="0">
  <x:tableColumns count="15">
    <x:tableColumn id="1" name="平台"/>
    <x:tableColumn id="2" name="Root"/>
    <x:tableColumn id="3" name="主页"/>
    <x:tableColumn id="4" name="粉丝 / 受众"/>
    <x:tableColumn id="5" name="语言"/>
    <x:tableColumn id="6" name="市场"/>
    <x:tableColumn id="7" name="Lane"/>
    <x:tableColumn id="8" name="观察用途"/>
    <x:tableColumn id="9" name="当前决定"/>
    <x:tableColumn id="10" name="90天活跃"/>
    <x:tableColumn id="11" name="Visibility signal"/>
    <x:tableColumn id="12" name="Interaction signal"/>
    <x:tableColumn id="13" name="风险 / 利益关联"/>
    <x:tableColumn id="14" name="checked_at"/>
    <x:tableColumn id="15" name="Entity ID"/>
  </x:tableColumns>
  <x:tableStyleInfo name="TableStyleMedium2" showFirstColumn="0" showLastColumn="0" showRowStripes="1" showColumnStripes="0"/>
</x:table>
</file>

<file path=xl/tables/table4.xml><?xml version="1.0" encoding="utf-8"?>
<x:table xmlns:x="http://schemas.openxmlformats.org/spreadsheetml/2006/main" id="4" name="ListDefinitions" displayName="ListDefinitions" ref="A5:D14" headerRowCount="1" totalsRowCount="0" totalsRowShown="0">
  <x:tableColumns count="4">
    <x:tableColumn id="1" name="术语 / KPI"/>
    <x:tableColumn id="2" name="含义"/>
    <x:tableColumn id="3" name="当前值 / 位置"/>
    <x:tableColumn id="4" name="状态"/>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e3a94f3a30d4ba0" /></Relationships>
</file>

<file path=xl/worksheets/_rels/sheet2.xml.rels>&#65279;<?xml version="1.0" encoding="utf-8"?><Relationships xmlns="http://schemas.openxmlformats.org/package/2006/relationships"><Relationship Type="http://schemas.openxmlformats.org/officeDocument/2006/relationships/table" Target="/xl/tables/table2.xml" Id="Rdd0308daf8784682" /></Relationships>
</file>

<file path=xl/worksheets/_rels/sheet3.xml.rels>&#65279;<?xml version="1.0" encoding="utf-8"?><Relationships xmlns="http://schemas.openxmlformats.org/package/2006/relationships"><Relationship Type="http://schemas.openxmlformats.org/officeDocument/2006/relationships/table" Target="/xl/tables/table3.xml" Id="Re3893a94877a4a26" /></Relationships>
</file>

<file path=xl/worksheets/_rels/sheet4.xml.rels>&#65279;<?xml version="1.0" encoding="utf-8"?><Relationships xmlns="http://schemas.openxmlformats.org/package/2006/relationships"><Relationship Type="http://schemas.openxmlformats.org/officeDocument/2006/relationships/table" Target="/xl/tables/table4.xml" Id="R4778be69e61347e5" /></Relationships>
</file>

<file path=xl/worksheets/sheet1.xml><?xml version="1.0" encoding="utf-8"?>
<x:worksheet xmlns:x="http://schemas.openxmlformats.org/spreadsheetml/2006/main">
  <x:sheetPr>
    <x:tabColor rgb="FF0F7C82"/>
  </x:sheetPr>
  <x:sheetViews>
    <x:sheetView showGridLines="0" workbookViewId="0">
      <x:pane xSplit="3" ySplit="7" topLeftCell="D8" activePane="bottomRight" state="frozen"/>
    </x:sheetView>
  </x:sheetViews>
  <x:sheetFormatPr defaultRowHeight="15"/>
  <x:cols>
    <x:col min="1" max="1" width="11" hidden="0" customWidth="1"/>
    <x:col min="2" max="2" width="29" hidden="0" customWidth="1"/>
    <x:col min="3" max="3" width="38" hidden="0" customWidth="1"/>
    <x:col min="4" max="4" width="14" hidden="0" customWidth="1"/>
    <x:col min="5" max="5" width="14" hidden="0" customWidth="1"/>
    <x:col min="6" max="6" width="22" hidden="0" customWidth="1"/>
    <x:col min="7" max="7" width="31" hidden="0" customWidth="1"/>
    <x:col min="8" max="8" width="32" hidden="0" customWidth="1"/>
    <x:col min="9" max="9" width="10" hidden="0" customWidth="1"/>
    <x:col min="10" max="10" width="14" hidden="0" customWidth="1"/>
    <x:col min="11" max="11" width="22" hidden="0" customWidth="1"/>
    <x:col min="12" max="12" width="28" hidden="0" customWidth="1"/>
    <x:col min="13" max="13" width="36" hidden="0" customWidth="1"/>
    <x:col min="14" max="14" width="23" hidden="0" customWidth="1"/>
    <x:col min="15" max="15" width="70" hidden="0" customWidth="1"/>
    <x:col min="16" max="16" width="16" hidden="0" customWidth="1"/>
  </x:cols>
  <x:sheetData>
    <x:row r="1" ht="25" customHeight="1">
      <x:c r="A1" s="3" t="str">
        <x:v>Mango Finance KOL Master List｜独立 KOL、Creator-led Media 与观察 Roots</x:v>
      </x:c>
      <x:c r="B1" s="1"/>
      <x:c r="C1" s="1"/>
      <x:c r="D1" s="1"/>
      <x:c r="E1" s="1"/>
      <x:c r="F1" s="1"/>
      <x:c r="G1" s="1"/>
      <x:c r="H1" s="1"/>
      <x:c r="I1" s="1"/>
      <x:c r="J1" s="1"/>
      <x:c r="K1" s="1"/>
      <x:c r="L1" s="1"/>
      <x:c r="M1" s="1"/>
      <x:c r="N1" s="1"/>
      <x:c r="O1" s="1"/>
      <x:c r="P1" s="1"/>
    </x:row>
    <x:row r="2" ht="25" customHeight="1">
      <x:c r="A2" s="1"/>
      <x:c r="B2" s="1"/>
      <x:c r="C2" s="1"/>
      <x:c r="D2" s="1"/>
      <x:c r="E2" s="1"/>
      <x:c r="F2" s="1"/>
      <x:c r="G2" s="1"/>
      <x:c r="H2" s="1"/>
      <x:c r="I2" s="1"/>
      <x:c r="J2" s="1"/>
      <x:c r="K2" s="1"/>
      <x:c r="L2" s="1"/>
      <x:c r="M2" s="1"/>
      <x:c r="N2" s="1"/>
      <x:c r="O2" s="1"/>
      <x:c r="P2" s="1"/>
    </x:row>
    <x:row r="3" ht="22" customHeight="1">
      <x:c r="A3" s="5" t="str">
        <x:v>来源：relationship-pipeline-v1.30｜采集/更新至 2026-09-06｜本页 101 个非机构对象；包含 89 个 creator/media 候选记录与 12 个 proxy roots。</x:v>
      </x:c>
      <x:c r="B3" s="4"/>
      <x:c r="C3" s="4"/>
      <x:c r="D3" s="4"/>
      <x:c r="E3" s="4"/>
      <x:c r="F3" s="4"/>
      <x:c r="G3" s="4"/>
      <x:c r="H3" s="4"/>
      <x:c r="I3" s="4"/>
      <x:c r="J3" s="4"/>
      <x:c r="K3" s="4"/>
      <x:c r="L3" s="4"/>
      <x:c r="M3" s="4"/>
      <x:c r="N3" s="4"/>
      <x:c r="O3" s="4"/>
      <x:c r="P3" s="4"/>
    </x:row>
    <x:row r="4" ht="28" customHeight="1">
      <x:c r="A4" s="8" t="str">
        <x:v>非机构账号</x:v>
      </x:c>
      <x:c r="B4" s="11" t="n">
        <x:f>COUNTA(B8:B108)</x:f>
        <x:v>101</x:v>
      </x:c>
      <x:c r="C4" s="8" t="str">
        <x:v>Creator/media记录</x:v>
      </x:c>
      <x:c r="D4" s="11" t="n">
        <x:f>COUNTIF(H8:H108,"&lt;&gt;Proxy root（仅观察）")</x:f>
        <x:v>89</x:v>
      </x:c>
      <x:c r="E4" s="8" t="str">
        <x:v>Creator Approve</x:v>
      </x:c>
      <x:c r="F4" s="11" t="n">
        <x:f>COUNTIFS(J8:J108,"Approve",H8:H108,"&lt;&gt;Proxy root（仅观察）")</x:f>
        <x:v>53</x:v>
      </x:c>
      <x:c r="G4" s="8" t="str">
        <x:v>Question</x:v>
      </x:c>
      <x:c r="H4" s="11" t="n">
        <x:f>COUNTIF(J8:J108,"Question")</x:f>
        <x:v>4</x:v>
      </x:c>
      <x:c r="I4" s="8" t="str">
        <x:v>Reject</x:v>
      </x:c>
      <x:c r="J4" s="11" t="n">
        <x:f>COUNTIF(J8:J108,"Reject")</x:f>
        <x:v>33</x:v>
      </x:c>
      <x:c r="K4" s="8" t="str">
        <x:v>Proxy Roots</x:v>
      </x:c>
      <x:c r="L4" s="11" t="n">
        <x:f>COUNTIF(H8:H108,"Proxy root（仅观察）")</x:f>
        <x:v>12</x:v>
      </x:c>
      <x:c r="M4" s="8" t="str">
        <x:v>Outreach Ready</x:v>
      </x:c>
      <x:c r="N4" s="11" t="n">
        <x:f>COUNTIF(N8:N108,"待授权建联")</x:f>
        <x:v>30</x:v>
      </x:c>
      <x:c r="O4" s="8" t="str">
        <x:v>已获报价</x:v>
      </x:c>
      <x:c r="P4" s="11" t="n">
        <x:f>COUNTIF(L8:L108,"已获报价*")</x:f>
        <x:v>0</x:v>
      </x:c>
    </x:row>
    <x:row r="5" ht="24" customHeight="1">
      <x:c r="A5" s="13" t="str">
        <x:v>口径：89 个 creator/media 记录包含 Approve、Question 和 Reject，并非 89 个已批准 KOL。X 共 60 个账号＝48 个非-root creator/media + 12 个 proxy roots；报价列只记录 Mango 实际收到的报价，未收到则留空；所有联系仍未发送。</x:v>
      </x:c>
      <x:c r="B5" s="12"/>
      <x:c r="C5" s="12"/>
      <x:c r="D5" s="12"/>
      <x:c r="E5" s="12"/>
      <x:c r="F5" s="12"/>
      <x:c r="G5" s="12"/>
      <x:c r="H5" s="12"/>
      <x:c r="I5" s="12"/>
      <x:c r="J5" s="12"/>
      <x:c r="K5" s="12"/>
      <x:c r="L5" s="12"/>
      <x:c r="M5" s="12"/>
      <x:c r="N5" s="12"/>
      <x:c r="O5" s="12"/>
      <x:c r="P5" s="12"/>
    </x:row>
    <x:row r="7" ht="34" customHeight="1">
      <x:c r="A7" s="19" t="str">
        <x:v>平台</x:v>
      </x:c>
      <x:c r="B7" s="19" t="str">
        <x:v>账号 / KOL</x:v>
      </x:c>
      <x:c r="C7" s="19" t="str">
        <x:v>主页链接</x:v>
      </x:c>
      <x:c r="D7" s="19" t="str">
        <x:v>粉丝 / 受众</x:v>
      </x:c>
      <x:c r="E7" s="19" t="str">
        <x:v>语言</x:v>
      </x:c>
      <x:c r="F7" s="19" t="str">
        <x:v>市场</x:v>
      </x:c>
      <x:c r="G7" s="19" t="str">
        <x:v>Lane</x:v>
      </x:c>
      <x:c r="H7" s="19" t="str">
        <x:v>名单类型</x:v>
      </x:c>
      <x:c r="I7" s="19" t="str">
        <x:v>优先级</x:v>
      </x:c>
      <x:c r="J7" s="19" t="str">
        <x:v>当前审计决定</x:v>
      </x:c>
      <x:c r="K7" s="19" t="str">
        <x:v>商务就绪</x:v>
      </x:c>
      <x:c r="L7" s="19" t="str">
        <x:v>报价</x:v>
      </x:c>
      <x:c r="M7" s="19" t="str">
        <x:v>联系方式</x:v>
      </x:c>
      <x:c r="N7" s="19" t="str">
        <x:v>跟进状态</x:v>
      </x:c>
      <x:c r="O7" s="19" t="str">
        <x:v>备注</x:v>
      </x:c>
      <x:c r="P7" s="19" t="str">
        <x:v>Entity ID</x:v>
      </x:c>
    </x:row>
    <x:row r="8" ht="72" customHeight="1">
      <x:c r="A8" s="24" t="str">
        <x:v>Bilibili</x:v>
      </x:c>
      <x:c r="B8" s="24" t="str">
        <x:v>财经不眠姐</x:v>
      </x:c>
      <x:c r="C8" s="24" t="str">
        <x:v>https://space.bilibili.com/531131239</x:v>
      </x:c>
      <x:c r="D8" s="24" t="n">
        <x:v>1739076</x:v>
      </x:c>
      <x:c r="E8" s="24" t="str">
        <x:v>中文</x:v>
      </x:c>
      <x:c r="F8" s="24" t="str">
        <x:v>中国内地; 香港/大中华; 全球/跨境</x:v>
      </x:c>
      <x:c r="G8" s="24" t="str">
        <x:v>Retail investing；Fintech/AI Finance; 商业/消费经济（探索）</x:v>
      </x:c>
      <x:c r="H8" s="24" t="str">
        <x:v>独立 KOL / creator</x:v>
      </x:c>
      <x:c r="I8" s="24" t="str">
        <x:v>P0</x:v>
      </x:c>
      <x:c r="J8" s="24" t="str">
        <x:v>Approve</x:v>
      </x:c>
      <x:c r="K8" s="24" t="str">
        <x:v>C2｜Outreach Ready</x:v>
      </x:c>
      <x:c r="L8" s="24" t="str"/>
      <x:c r="M8" s="24" t="str">
        <x:v>WeChat: sachaad233</x:v>
      </x:c>
      <x:c r="N8" s="24" t="str">
        <x:v>待授权建联</x:v>
      </x:c>
      <x:c r="O8" s="24" t="str">
        <x:v>定位：Direct bridge creator
依据：direct audience/content fit; strong current organic performance; public business route；内容 13/20；90天活跃 Yes；E3；核验 2026-09-06
判断：The account is highly active, reaches a large Chinese audience, has strong median engagement and a creator-authorized business route. Its value is business/economic explanation rather than securities research.
风险/下一步：Uses high-arousal large-number and collapse framing. Suitable for consumer-finance/fintech awareness and economic storytelling, not investment recommendations …；Prepare a bounded inquiry for consumer-finance/fintech formats, audience, rates, eight-week availability, past finance sponsors, claims review and usage rights; do not send withou…</x:v>
      </x:c>
      <x:c r="P8" s="24" t="str">
        <x:v>CN-LC-010</x:v>
      </x:c>
    </x:row>
    <x:row r="9" ht="72" customHeight="1">
      <x:c r="A9" s="24" t="str">
        <x:v>Bilibili</x:v>
      </x:c>
      <x:c r="B9" s="24" t="str">
        <x:v>所长林超</x:v>
      </x:c>
      <x:c r="C9" s="24" t="str">
        <x:v>https://space.bilibili.com/520155988</x:v>
      </x:c>
      <x:c r="D9" s="24" t="n">
        <x:v>3623965</x:v>
      </x:c>
      <x:c r="E9" s="24" t="str">
        <x:v>中文</x:v>
      </x:c>
      <x:c r="F9" s="24" t="str">
        <x:v>中国内地; 香港/大中华; 全球/跨境</x:v>
      </x:c>
      <x:c r="G9" s="24" t="str">
        <x:v>Fintech/AI Finance；美股/市场评论; Retail investing</x:v>
      </x:c>
      <x:c r="H9" s="24" t="str">
        <x:v>独立 KOL / creator</x:v>
      </x:c>
      <x:c r="I9" s="24" t="str">
        <x:v>P0</x:v>
      </x:c>
      <x:c r="J9" s="24" t="str">
        <x:v>Approve</x:v>
      </x:c>
      <x:c r="K9" s="24" t="str">
        <x:v>C2｜Outreach Ready</x:v>
      </x:c>
      <x:c r="L9" s="24" t="str"/>
      <x:c r="M9" s="24" t="str">
        <x:v>WeChat: suozhang03</x:v>
      </x:c>
      <x:c r="N9" s="24" t="str">
        <x:v>待授权建联</x:v>
      </x:c>
      <x:c r="O9" s="24" t="str">
        <x:v>定位：Direct bridge creator
依据：direct audience/content fit; professional/content authority; observed co-production interaction bridge; public business route；内容 12/20；90天活跃 Yes；E3；核验 2026-09-06
判断：Current low-frequency long-form output is consistently relevant to AI infrastructure, equity/market cycles and finance; audience scale, repeat co-production and a direct business route make this the strongest new local-platform creator.
风险/下一步：Investor/technology commentator with potential portfolio and financial-product conflicts; current posts include investment disclaimers. Rates, conflicts, spons…；Prepare a creator inquiry for formats, audience, rates, eight-week availability, conflicts, usage rights and finance-disclosure controls; do not send without authorization.</x:v>
      </x:c>
      <x:c r="P9" s="24" t="str">
        <x:v>CN-LC-009</x:v>
      </x:c>
    </x:row>
    <x:row r="10" ht="72" customHeight="1">
      <x:c r="A10" s="24" t="str">
        <x:v>Bilibili; Weibo; Douyin</x:v>
      </x:c>
      <x:c r="B10" s="24" t="str">
        <x:v>温义飞 / 温义飞今天插旗了吗</x:v>
      </x:c>
      <x:c r="C10" s="24" t="str">
        <x:v>https://space.bilibili.com/508709785</x:v>
      </x:c>
      <x:c r="D10" s="24" t="n">
        <x:v>483000</x:v>
      </x:c>
      <x:c r="E10" s="24" t="str">
        <x:v>中文</x:v>
      </x:c>
      <x:c r="F10" s="24" t="str">
        <x:v>中国内地; 香港/大中华; 全球/跨境</x:v>
      </x:c>
      <x:c r="G10" s="24" t="str">
        <x:v>Retail investing；美股/市场评论; 商业/消费经济</x:v>
      </x:c>
      <x:c r="H10" s="24" t="str">
        <x:v>独立 KOL / creator</x:v>
      </x:c>
      <x:c r="I10" s="24" t="str">
        <x:v>P0</x:v>
      </x:c>
      <x:c r="J10" s="24" t="str">
        <x:v>Approve</x:v>
      </x:c>
      <x:c r="K10" s="24" t="str">
        <x:v>C3｜Outreach Ready</x:v>
      </x:c>
      <x:c r="L10" s="24" t="str"/>
      <x:c r="M10" s="24" t="str">
        <x:v>WeChat: shier0002</x:v>
      </x:c>
      <x:c r="N10" s="24" t="str">
        <x:v>待授权建联</x:v>
      </x:c>
      <x:c r="O10" s="24" t="str">
        <x:v>定位：Direct bridge creator
依据：direct audience fit; current original content; professional authority; repeated current sponsor precedent; creator-authorized business route；内容 8/10；90天活跃 Yes；E3；核验 2026-09-06
判断：A current canonical Bilibili account corrects the stale identity match and directly proves activity, a substantial audience, original economics/wealth content, sponsor precedent and an explicit business route.
风险/下一步：Broad economics/social-business mix; self-owned paid courses and livestream commerce; campaign conflicts and paid-content disclosure require confirmation. Thes…；After explicit send authorization, request current platform/audience split, finance and fintech formats, rates, minimums, conflicts, disclosure process, usage rights and eight-wee…</x:v>
      </x:c>
      <x:c r="P10" s="24" t="str">
        <x:v>CN-LC-008</x:v>
      </x:c>
    </x:row>
    <x:row r="11" ht="72" customHeight="1">
      <x:c r="A11" s="24" t="str">
        <x:v>X</x:v>
      </x:c>
      <x:c r="B11" s="24" t="str">
        <x:v>投资TALK君 (@TJ_Research)</x:v>
      </x:c>
      <x:c r="C11" s="24" t="str">
        <x:v>https://x.com/TJ_Research</x:v>
      </x:c>
      <x:c r="D11" s="24" t="n">
        <x:v>91926</x:v>
      </x:c>
      <x:c r="E11" s="24" t="str">
        <x:v>中文</x:v>
      </x:c>
      <x:c r="F11" s="24" t="str">
        <x:v>香港/大中华; 全球/跨境; 美国（内容市场；受众地域为推断）</x:v>
      </x:c>
      <x:c r="G11" s="24" t="str">
        <x:v>美股/市场评论；Crypto × Equity/新金融</x:v>
      </x:c>
      <x:c r="H11" s="24" t="str">
        <x:v>独立 KOL / creator</x:v>
      </x:c>
      <x:c r="I11" s="24" t="str">
        <x:v>P0</x:v>
      </x:c>
      <x:c r="J11" s="24" t="str">
        <x:v>Approve</x:v>
      </x:c>
      <x:c r="K11" s="24" t="str">
        <x:v>C3｜Outreach Ready</x:v>
      </x:c>
      <x:c r="L11" s="24" t="str"/>
      <x:c r="M11" s="24" t="str">
        <x:v>investmenttalkjun@gmail.com</x:v>
      </x:c>
      <x:c r="N11" s="24" t="str">
        <x:v>待授权建联</x:v>
      </x:c>
      <x:c r="O11" s="24" t="str">
        <x:v>定位：Direct bridge creator
依据：direct audience fit; professional authority/content credibility; historical product partnership；内容 15/20；90天活跃 Yes；E3；核验 2026-09-06
判断：最新 20 条中 15 条直接涉及美股、宏观、利率、个股或 crypto×equity，19/20 为非回复、非转推表达；X 简介公开商业邮箱，且 CMoney 同名 App 构成可核验合作案例。受众地域仍为内容与语言推断。
风险/下一步：持仓、加仓与方向性观点需按 campaign 逐案审；近期样本未观察到保证收益或付费证券发行人推广。；准备直接建联：索取 media kit、平台拆分受众、合作形式、rate card、档期、品类冲突及 CMoney 是否参与商务。</x:v>
      </x:c>
      <x:c r="P11" s="24" t="str">
        <x:v>CRT-015</x:v>
      </x:c>
    </x:row>
    <x:row r="12" ht="72" customHeight="1">
      <x:c r="A12" s="24" t="str">
        <x:v>X</x:v>
      </x:c>
      <x:c r="B12" s="24" t="str">
        <x:v>AI索罗斯科特</x:v>
      </x:c>
      <x:c r="C12" s="24" t="str">
        <x:v>https://x.com/0xScottBTC</x:v>
      </x:c>
      <x:c r="D12" s="24" t="n">
        <x:v>14414</x:v>
      </x:c>
      <x:c r="E12" s="24" t="str">
        <x:v>中文; 英文</x:v>
      </x:c>
      <x:c r="F12" s="24" t="str">
        <x:v>香港/大中华; 全球/跨境; 美国（内容 market proxy）</x:v>
      </x:c>
      <x:c r="G12" s="24" t="str">
        <x:v>Crypto × Equity/新金融；Trading/options; Fintech/AI Finance</x:v>
      </x:c>
      <x:c r="H12" s="24" t="str">
        <x:v>独立 KOL / creator</x:v>
      </x:c>
      <x:c r="I12" s="24" t="str">
        <x:v>P0</x:v>
      </x:c>
      <x:c r="J12" s="24" t="str">
        <x:v>Approve</x:v>
      </x:c>
      <x:c r="K12" s="24" t="str">
        <x:v>C2｜Outreach Ready</x:v>
      </x:c>
      <x:c r="L12" s="24" t="str"/>
      <x:c r="M12" s="24" t="str">
        <x:v>Telegram @scott_cheung</x:v>
      </x:c>
      <x:c r="N12" s="24" t="str">
        <x:v>待授权建联</x:v>
      </x:c>
      <x:c r="O12" s="24" t="str">
        <x:v>定位：Chinese tokenized-equity, prediction-market and market-structure creator/researcher
依据：直接受众匹配; 专业权威与内容可信度; root visibility; 历史 sponsor/商业证据；内容 11/20；90天活跃 Yes；E3；核验 2026-09-06T01:55:57.475Z
判断：Eleven of twenty chronological and eleven of fifteen original/quote posts are directly relevant to new finance. Eight root follow edges and a creator-authorized business contact support conditional approval and commercial preparation.
风险/下一步：High annualized-yield headline, DeFi/LP and tokenized-equity risk, holdings and platform conflicts. The detailed post separates subsidies, fees and risks, so t…；After send authorization, request media kit, formats, rates, audience, availability, platform/holding conflicts, sponsorship disclosure and risk-review workflow.</x:v>
      </x:c>
      <x:c r="P12" s="24" t="str">
        <x:v>CN-X4-012</x:v>
      </x:c>
    </x:row>
    <x:row r="13" ht="72" customHeight="1">
      <x:c r="A13" s="24" t="str">
        <x:v>X</x:v>
      </x:c>
      <x:c r="B13" s="24" t="str">
        <x:v>Haotian</x:v>
      </x:c>
      <x:c r="C13" s="24" t="str">
        <x:v>https://x.com/tmel0211</x:v>
      </x:c>
      <x:c r="D13" s="24" t="n">
        <x:v>50738</x:v>
      </x:c>
      <x:c r="E13" s="24" t="str">
        <x:v>中文; 英文</x:v>
      </x:c>
      <x:c r="F13" s="24" t="str">
        <x:v>香港/大中华; 全球/跨境; 美国（内容市场；受众地域为推断）</x:v>
      </x:c>
      <x:c r="G13" s="24" t="str">
        <x:v>Crypto × Equity/新金融；Fintech/AI Finance; 美股/市场评论</x:v>
      </x:c>
      <x:c r="H13" s="24" t="str">
        <x:v>独立 KOL / creator</x:v>
      </x:c>
      <x:c r="I13" s="24" t="str">
        <x:v>P0</x:v>
      </x:c>
      <x:c r="J13" s="24" t="str">
        <x:v>Approve</x:v>
      </x:c>
      <x:c r="K13" s="24" t="str">
        <x:v>C2｜Outreach Ready</x:v>
      </x:c>
      <x:c r="L13" s="24" t="str"/>
      <x:c r="M13" s="24" t="str">
        <x:v>https://x.com/tmel0211</x:v>
      </x:c>
      <x:c r="N13" s="24" t="str">
        <x:v>待授权建联</x:v>
      </x:c>
      <x:c r="O13" s="24" t="str">
        <x:v>定位：Chinese new-finance, AI and crypto-equity creator
依据：直接受众匹配; 专业权威与内容可信度; root visibility; root interaction; 历史 sponsor/商业证据；内容 11/20；90天活跃 Yes；E3；核验 2026-09-06T01:55:57.475Z
判断：Original/quote sample is 20/20 lane-relevant, the account has seven root follow edges and six unique direct interaction events, and the profile explicitly invites collaborations. Approve with campaign boundaries and conflict disclosure requirements.
风险/下一步：Crypto/token positioning; advisor and holdings conflicts; early-project/FOMO language; suitability is strongest for new-finance and tokenized-equity briefs, no…；After send authorization, request media kit, audience, formats, rates, eight-week availability, affiliations/holdings, category conflicts and disclosure workflow.</x:v>
      </x:c>
      <x:c r="P13" s="24" t="str">
        <x:v>CN-X4-008</x:v>
      </x:c>
    </x:row>
    <x:row r="14" ht="72" customHeight="1">
      <x:c r="A14" s="24" t="str">
        <x:v>YouTube</x:v>
      </x:c>
      <x:c r="B14" s="24" t="str">
        <x:v>柴鼠兄弟 ZRBros</x:v>
      </x:c>
      <x:c r="C14" s="24" t="str">
        <x:v>https://www.youtube.com/@ZRBro</x:v>
      </x:c>
      <x:c r="D14" s="24" t="n">
        <x:v>1160000</x:v>
      </x:c>
      <x:c r="E14" s="24" t="str">
        <x:v>中文</x:v>
      </x:c>
      <x:c r="F14" s="24" t="str">
        <x:v>台湾; 香港/大中华; 全球/跨境</x:v>
      </x:c>
      <x:c r="G14" s="24" t="str">
        <x:v>Retail investing；美股/市场评论; Fintech/AI Finance</x:v>
      </x:c>
      <x:c r="H14" s="24" t="str">
        <x:v>独立 KOL / creator</x:v>
      </x:c>
      <x:c r="I14" s="24" t="str">
        <x:v>P0</x:v>
      </x:c>
      <x:c r="J14" s="24" t="str">
        <x:v>Approve</x:v>
      </x:c>
      <x:c r="K14" s="24" t="str">
        <x:v>C3｜Outreach Ready</x:v>
      </x:c>
      <x:c r="L14" s="24" t="str"/>
      <x:c r="M14" s="24" t="str">
        <x:v>paike.cat@gmail.com</x:v>
      </x:c>
      <x:c r="N14" s="24" t="str">
        <x:v>待授权建联</x:v>
      </x:c>
      <x:c r="O14" s="24" t="str">
        <x:v>定位：Direct bridge creator
依据：direct audience fit; historical sponsor evidence; professional credentials/content credibility；内容 18/20；90天活跃 Yes；E3；核验 2026-09-05
判断：最近 20 条长视频人工复核约 18/20 为 ETF、数字银行、个人理财或投资教育；频道近期活跃、原创稳定，公开联系邮箱与赞助案例成立。官方频道介绍明确称不属于任何经纪公司。
风险/下一步：内容含 ETF 产品与金融商品讨论，需要按客户牌照、市场与脚本逐案合规；近期样本也包含少量书籍/生活内容。；直接询问 media kit、台湾/大中华受众、YouTube/社交组合、rate card、未来 8 周档期、金融品类限制和内容审阅流程。</x:v>
      </x:c>
      <x:c r="P14" s="24" t="str">
        <x:v>CN-CRE-005</x:v>
      </x:c>
    </x:row>
    <x:row r="15" ht="72" customHeight="1">
      <x:c r="A15" s="24" t="str">
        <x:v>YouTube</x:v>
      </x:c>
      <x:c r="B15" s="24" t="str">
        <x:v>游庭皓的財經皓角</x:v>
      </x:c>
      <x:c r="C15" s="24" t="str">
        <x:v>https://www.youtube.com/@yutinghaofinance/streams</x:v>
      </x:c>
      <x:c r="D15" s="24" t="n">
        <x:v>698000</x:v>
      </x:c>
      <x:c r="E15" s="24" t="str">
        <x:v>中文</x:v>
      </x:c>
      <x:c r="F15" s="24" t="str">
        <x:v>台湾; 香港/大中华; 美国（内容市场）; 全球/跨境</x:v>
      </x:c>
      <x:c r="G15" s="24" t="str">
        <x:v>美股/市场评论；Retail investing; Fintech/AI Finance; 全球宏观</x:v>
      </x:c>
      <x:c r="H15" s="24" t="str">
        <x:v>Creator-led media / Newsletter / Podcast</x:v>
      </x:c>
      <x:c r="I15" s="24" t="str">
        <x:v>P0</x:v>
      </x:c>
      <x:c r="J15" s="24" t="str">
        <x:v>Approve</x:v>
      </x:c>
      <x:c r="K15" s="24" t="str">
        <x:v>C2｜Outreach Ready</x:v>
      </x:c>
      <x:c r="L15" s="24" t="str"/>
      <x:c r="M15" s="24" t="str">
        <x:v>jackieyutw@gmail.com</x:v>
      </x:c>
      <x:c r="N15" s="24" t="str">
        <x:v>待授权建联</x:v>
      </x:c>
      <x:c r="O15" s="24" t="str">
        <x:v>定位：Newsletter/podcast/media route
依据：direct audience fit; professional authority/content credibility; creator-led media；内容 20/20；90天活跃 Yes；E3；核验 2026-09-05
判断：按公开 streams 而非混入会员视频的 /videos 页抽样，最近 20 场为 20/20 宏观、美股、台股、AI、债券相关，覆盖 2026-08-10 至 09-04；公开邮箱可执行，但 sponsor 历史和商务用途尚待本人确认。
风险/下一步：官网公开自述平均年化报酬约 18%，未经本轮独立审计；有自营会员/订阅，投放前需确认利益披露、品牌商务用途及品类冲突。；先确认该邮箱是否接受品牌合作，再索取 media kit、平台受众、直播/Podcast 形式、rate card、档期、合规与会员产品冲突。</x:v>
      </x:c>
      <x:c r="P15" s="24" t="str">
        <x:v>CN-CRE-006</x:v>
      </x:c>
    </x:row>
    <x:row r="16" ht="72" customHeight="1">
      <x:c r="A16" s="24" t="str">
        <x:v>YouTube</x:v>
      </x:c>
      <x:c r="B16" s="24" t="str">
        <x:v>Investing Simplified – Professor G</x:v>
      </x:c>
      <x:c r="C16" s="24" t="str">
        <x:v>https://www.youtube.com/channel/UCr4XXQznhlgfzo4mwOgkF8w</x:v>
      </x:c>
      <x:c r="D16" s="24" t="n">
        <x:v>463000</x:v>
      </x:c>
      <x:c r="E16" s="24" t="str">
        <x:v>英文</x:v>
      </x:c>
      <x:c r="F16" s="24" t="str">
        <x:v>美国（受众地域按原证据置信度）</x:v>
      </x:c>
      <x:c r="G16" s="24" t="str">
        <x:v>Retail investing；美股/市场评论; Crypto × Equity/新金融</x:v>
      </x:c>
      <x:c r="H16" s="24" t="str">
        <x:v>独立 KOL / creator</x:v>
      </x:c>
      <x:c r="I16" s="24" t="str">
        <x:v>P0</x:v>
      </x:c>
      <x:c r="J16" s="24" t="str">
        <x:v>Approve</x:v>
      </x:c>
      <x:c r="K16" s="24" t="str">
        <x:v>C3｜Outreach Ready</x:v>
      </x:c>
      <x:c r="L16" s="24" t="str"/>
      <x:c r="M16" s="24" t="str">
        <x:v>https://app.thoughtleaders.io/youtube/investing-simplified-professor-g</x:v>
      </x:c>
      <x:c r="N16" s="24" t="str">
        <x:v>待授权建联</x:v>
      </x:c>
      <x:c r="O16" s="24" t="str">
        <x:v>定位：Direct bridge creator
依据：professional authority/content credibility; direct audience fit; historical sponsor/partner evidence；内容 19/20；90天活跃 Yes；E2；核验 2026-09-04T12:41:48+08:00
判断：19/20 直接符合 Retail education（1 条 Bible/money 为 adjacent）；原先以个股分析作为唯一标准是 lane 错配。
风险/下一步：部分 crash/fear/wealth framing 较激进；并公开说明本人不是 financial advisor。需要 sponsor-by-sponsor 合规复核。；批准后核商务入口、广告披露、受众地域与对 crypto sponsor 的品牌安全政策。</x:v>
      </x:c>
      <x:c r="P16" s="24" t="str">
        <x:v>CRT-006</x:v>
      </x:c>
    </x:row>
    <x:row r="17" ht="72" customHeight="1">
      <x:c r="A17" s="24" t="str">
        <x:v>YouTube</x:v>
      </x:c>
      <x:c r="B17" s="24" t="str">
        <x:v>Mark Roussin, CPA</x:v>
      </x:c>
      <x:c r="C17" s="24" t="str">
        <x:v>https://www.youtube.com/channel/UCC7xhD0o7FBHdKXZxMRFspQ</x:v>
      </x:c>
      <x:c r="D17" s="24" t="n">
        <x:v>160000</x:v>
      </x:c>
      <x:c r="E17" s="24" t="str">
        <x:v>英文</x:v>
      </x:c>
      <x:c r="F17" s="24" t="str">
        <x:v>美国（受众地域按原证据置信度）</x:v>
      </x:c>
      <x:c r="G17" s="24" t="str">
        <x:v>美股/市场评论；Trading/options</x:v>
      </x:c>
      <x:c r="H17" s="24" t="str">
        <x:v>独立 KOL / creator</x:v>
      </x:c>
      <x:c r="I17" s="24" t="str">
        <x:v>P0</x:v>
      </x:c>
      <x:c r="J17" s="24" t="str">
        <x:v>Approve</x:v>
      </x:c>
      <x:c r="K17" s="24" t="str">
        <x:v>C3｜Outreach Ready</x:v>
      </x:c>
      <x:c r="L17" s="24" t="str"/>
      <x:c r="M17" s="24" t="str">
        <x:v>mark@roussinfinancial.com; https://advertising.libsyn.com/MarkRoussinCPA</x:v>
      </x:c>
      <x:c r="N17" s="24" t="str">
        <x:v>待授权建联</x:v>
      </x:c>
      <x:c r="O17" s="24" t="str">
        <x:v>定位：Direct bridge creator
依据：professional authority/content credibility; direct audience fit; historical sponsor/partner evidence；内容 20/20；90天活跃 Yes；E2；核验 2026-09-04T12:41:48+08:00
判断：20/20 直接美股相关、近期活跃、原创和英语/US-market gate 通过；root、受众地域与公开商务入口缺失，故不是高等级 ready seed。
风险/下一步：标题有 buy-heavy/early investors 等促动性，但样本未见付费小盘发行人推广；评论诈骗污染明显。；批准后优先验证 business route、美国受众、sponsor disclosure 形式与 proxy-root 互动。</x:v>
      </x:c>
      <x:c r="P17" s="24" t="str">
        <x:v>CRT-002</x:v>
      </x:c>
    </x:row>
    <x:row r="18" ht="72" customHeight="1">
      <x:c r="A18" s="24" t="str">
        <x:v>YouTube</x:v>
      </x:c>
      <x:c r="B18" s="24" t="str">
        <x:v>NaNa说美股</x:v>
      </x:c>
      <x:c r="C18" s="24" t="str">
        <x:v>https://www.youtube.com/@NaNaShuoMeiGu</x:v>
      </x:c>
      <x:c r="D18" s="24" t="n">
        <x:v>318000</x:v>
      </x:c>
      <x:c r="E18" s="24" t="str">
        <x:v>中文</x:v>
      </x:c>
      <x:c r="F18" s="24" t="str">
        <x:v>美国（内容与 Moomoo 美国合作）; 全球/跨境; 中文投资者</x:v>
      </x:c>
      <x:c r="G18" s="24" t="str">
        <x:v>美股/市场评论; Trading/options；Retail investing</x:v>
      </x:c>
      <x:c r="H18" s="24" t="str">
        <x:v>独立 KOL / creator</x:v>
      </x:c>
      <x:c r="I18" s="24" t="str">
        <x:v>P0</x:v>
      </x:c>
      <x:c r="J18" s="24" t="str">
        <x:v>Approve</x:v>
      </x:c>
      <x:c r="K18" s="24" t="str">
        <x:v>C3｜Outreach Ready</x:v>
      </x:c>
      <x:c r="L18" s="24" t="str"/>
      <x:c r="M18" s="24" t="str">
        <x:v>https://nanashuomeigu.com/contact/</x:v>
      </x:c>
      <x:c r="N18" s="24" t="str">
        <x:v>待授权建联</x:v>
      </x:c>
      <x:c r="O18" s="24" t="str">
        <x:v>定位：Direct bridge creator
依据：direct audience fit; historical sponsor/affiliate evidence; high-frequency creator content；内容 20/20；90天活跃 Yes；E3；核验 2026-09-05
判断：最近 20 条为 20/20 高频美股市场内容，覆盖 2026-08-13 至 09-04；互动表现稳定。官网表单明确接受商务请求，近期视频对 Moomoo 付费合作及 affiliate 做了清楚披露。
风险/下一步：会员内容涉及个股操作分享；长期 Moomoo sponsor/affiliate 可能形成券商品类冲突；标题偏娱乐和行动导向，需品牌脚本审阅。；通过官网表单询问 media kit、地域/平台受众、整合形式、rate card、未来 8 周档期、Moomoo 排他与金融品类限制。</x:v>
      </x:c>
      <x:c r="P18" s="24" t="str">
        <x:v>CN-CRE-003</x:v>
      </x:c>
    </x:row>
    <x:row r="19" ht="72" customHeight="1">
      <x:c r="A19" s="24" t="str">
        <x:v>YouTube</x:v>
      </x:c>
      <x:c r="B19" s="24" t="str">
        <x:v>The Julia La Roche Show</x:v>
      </x:c>
      <x:c r="C19" s="24" t="str">
        <x:v>https://www.youtube.com/channel/UCZzKVx5EBb42XoTQKCIllxg</x:v>
      </x:c>
      <x:c r="D19" s="24" t="n">
        <x:v>74500</x:v>
      </x:c>
      <x:c r="E19" s="24" t="str">
        <x:v>英文</x:v>
      </x:c>
      <x:c r="F19" s="24" t="str">
        <x:v>美国（受众地域按原证据置信度）</x:v>
      </x:c>
      <x:c r="G19" s="24" t="str">
        <x:v>美股/市场评论；Retail investing; Trading/options</x:v>
      </x:c>
      <x:c r="H19" s="24" t="str">
        <x:v>Creator-led media / Newsletter / Podcast</x:v>
      </x:c>
      <x:c r="I19" s="24" t="str">
        <x:v>P0</x:v>
      </x:c>
      <x:c r="J19" s="24" t="str">
        <x:v>Approve</x:v>
      </x:c>
      <x:c r="K19" s="24" t="str">
        <x:v>C3｜Outreach Ready</x:v>
      </x:c>
      <x:c r="L19" s="24" t="str"/>
      <x:c r="M19" s="24" t="str">
        <x:v>julia@julialaroche.com</x:v>
      </x:c>
      <x:c r="N19" s="24" t="str">
        <x:v>待授权建联</x:v>
      </x:c>
      <x:c r="O19" s="24" t="str">
        <x:v>定位：Newsletter/podcast/media route
依据：supplier/media route; professional authority/content credibility; direct audience fit; historical sponsor/partner evidence；内容 20/20；90天活跃 Yes；E2；核验 2026-09-04T12:41:48+08:00
判断：作为 direct stock analyst 的原定位不成立，但作为活跃 finance podcast/media bridge 明确成立；不强套 creator hard gate。
风险/下一步：若嘉宾观点极端，风险需按 episode 单独审；媒体角色不等于 Julia 本人的投资观点。；批准后核广告联系人/media kit、受众地域、host-read/guest integration 形式和嘉宾 safety。</x:v>
      </x:c>
      <x:c r="P19" s="24" t="str">
        <x:v>CRT-007</x:v>
      </x:c>
    </x:row>
    <x:row r="20" ht="72" customHeight="1">
      <x:c r="A20" s="24" t="str">
        <x:v>Bilibili; YouTube; 微博; Podcast</x:v>
      </x:c>
      <x:c r="B20" s="24" t="str">
        <x:v>小Lin说</x:v>
      </x:c>
      <x:c r="C20" s="24" t="str">
        <x:v>https://www.youtube.com/@xiao_lin_shuo</x:v>
      </x:c>
      <x:c r="D20" s="24" t="n">
        <x:v>2820000</x:v>
      </x:c>
      <x:c r="E20" s="24" t="str">
        <x:v>中文</x:v>
      </x:c>
      <x:c r="F20" s="24" t="str">
        <x:v>中国内地; 美国; 全球/跨境; 中文投资者</x:v>
      </x:c>
      <x:c r="G20" s="24" t="str">
        <x:v>美股/市场评论; Fintech/AI Finance；Retail investing; Crypto × Equity/新金融; 全球宏观/商业</x:v>
      </x:c>
      <x:c r="H20" s="24" t="str">
        <x:v>Creator-led media / Newsletter / Podcast</x:v>
      </x:c>
      <x:c r="I20" s="24" t="str">
        <x:v>P1</x:v>
      </x:c>
      <x:c r="J20" s="24" t="str">
        <x:v>Approve</x:v>
      </x:c>
      <x:c r="K20" s="24" t="str">
        <x:v>C3｜Outreach Ready</x:v>
      </x:c>
      <x:c r="L20" s="24" t="str"/>
      <x:c r="M20" s="24" t="str">
        <x:v>xiao_lin_shuo@163.com</x:v>
      </x:c>
      <x:c r="N20" s="24" t="str">
        <x:v>待授权建联</x:v>
      </x:c>
      <x:c r="O20" s="24" t="str">
        <x:v>定位：Newsletter/podcast/media route
依据：professional authority/content credibility; direct broad-finance audience; historical brand collaboration；内容 13/20；90天活跃 Yes；E3；核验 2026-09-05
判断：低频长内容按最近 20 期人工复核约 13/20 与宏观、金融危机、资本市场、黄金、美元、AI 或商业直接相关；Bilibili 官方简介有合作邮箱，且近期有多项公开品牌合作。
风险/下一步：受众广于投资者，不能把百万播放自动等同金融转化；财经 lane 更适合宏观、金融教育、AI/fintech 认知，不宜当作高频交易 KOL。；询问 finance/fintech 类 media kit、Bilibili/YouTube/微博/视频号受众拆分、合作形式、rate card、档期、定制内容审阅与历史转化案例。</x:v>
      </x:c>
      <x:c r="P20" s="24" t="str">
        <x:v>CN-CRE-004</x:v>
      </x:c>
    </x:row>
    <x:row r="21" ht="72" customHeight="1">
      <x:c r="A21" s="24" t="str">
        <x:v>Instagram; TikTok; YouTube</x:v>
      </x:c>
      <x:c r="B21" s="24" t="str">
        <x:v>Marc Russell / BetterWallet</x:v>
      </x:c>
      <x:c r="C21" s="24" t="str">
        <x:v>https://thebetterwallet.com/brand</x:v>
      </x:c>
      <x:c r="D21" s="24" t="n">
        <x:v>4420</x:v>
      </x:c>
      <x:c r="E21" s="24" t="str">
        <x:v>英文</x:v>
      </x:c>
      <x:c r="F21" s="24" t="str">
        <x:v>美国</x:v>
      </x:c>
      <x:c r="G21" s="24" t="str">
        <x:v>Retail investing；financial literacy; credit and debt</x:v>
      </x:c>
      <x:c r="H21" s="24" t="str">
        <x:v>独立 KOL / creator</x:v>
      </x:c>
      <x:c r="I21" s="24" t="str">
        <x:v>P1</x:v>
      </x:c>
      <x:c r="J21" s="24" t="str">
        <x:v>Approve</x:v>
      </x:c>
      <x:c r="K21" s="24" t="str">
        <x:v>C3｜Outreach Ready</x:v>
      </x:c>
      <x:c r="L21" s="24" t="str"/>
      <x:c r="M21" s="24" t="str">
        <x:v>marc@thebetterwallet.com</x:v>
      </x:c>
      <x:c r="N21" s="24" t="str">
        <x:v>待授权建联</x:v>
      </x:c>
      <x:c r="O21" s="24" t="str">
        <x:v>定位：Direct bridge creator
依据：supplier/media roster; direct audience/content fit; verified commercial route；内容 8/8；90天活跃 Yes；E3；核验 2026-09-06
判断：Eight of eight recent long videos and twenty of twenty Shorts fit beginner investing and financial literacy. The official brand page, direct route, current FIN roster and named partner cases make the creator commercially executable despite small YouTube reach…
风险/下一步：Own coaching/investing program and strong wealth-transformation language require conflict and testimonial review. No severe guaranteed-return or paid-issuer pr…；After authorization, compare direct and FIN terms; request media kit, platform/audience split, rates, availability, current category conflicts, usage rights and disclosure control…</x:v>
      </x:c>
      <x:c r="P21" s="24" t="str">
        <x:v>SBI-022</x:v>
      </x:c>
    </x:row>
    <x:row r="22" ht="72" customHeight="1">
      <x:c r="A22" s="24" t="str">
        <x:v>Podcast; YouTube; Facebook community</x:v>
      </x:c>
      <x:c r="B22" s="24" t="str">
        <x:v>Jackie Cummings Koski / Catching Up to FI</x:v>
      </x:c>
      <x:c r="C22" s="24" t="str">
        <x:v>https://catchinguptofi.com/</x:v>
      </x:c>
      <x:c r="D22" s="24" t="n">
        <x:v>7650</x:v>
      </x:c>
      <x:c r="E22" s="24" t="str">
        <x:v>英文</x:v>
      </x:c>
      <x:c r="F22" s="24" t="str">
        <x:v>美国</x:v>
      </x:c>
      <x:c r="G22" s="24" t="str">
        <x:v>Retail investing；retirement; financial independence</x:v>
      </x:c>
      <x:c r="H22" s="24" t="str">
        <x:v>独立 KOL / creator</x:v>
      </x:c>
      <x:c r="I22" s="24" t="str">
        <x:v>P1</x:v>
      </x:c>
      <x:c r="J22" s="24" t="str">
        <x:v>Approve</x:v>
      </x:c>
      <x:c r="K22" s="24" t="str">
        <x:v>C3｜Outreach Ready</x:v>
      </x:c>
      <x:c r="L22" s="24" t="str"/>
      <x:c r="M22" s="24" t="str">
        <x:v>info@catchinguptofi.com</x:v>
      </x:c>
      <x:c r="N22" s="24" t="str">
        <x:v>待授权建联</x:v>
      </x:c>
      <x:c r="O22" s="24" t="str">
        <x:v>定位：Finance podcast/media route
依据：supplier/media roster; direct audience/content fit; verified commercial route；内容 17/17；90天活跃 Yes；E3；核验 2026-09-06
判断：Seventeen of seventeen long videos and twenty of twenty Shorts fit late-starter financial independence and retirement. A concrete media kit, public contact and current FIN roster relationship make this a buyable niche media route.
风险/下一步：Niche YouTube reach and frequent partner/affiliate language require category-conflict review. The automated bond-risk severe hit was manually confirmed as a fa…；After authorization, request an updated 2026 media kit, audience/download geography, current host-read inventory, rates, partner conflicts and availability; ask FIN whether it off…</x:v>
      </x:c>
      <x:c r="P22" s="24" t="str">
        <x:v>SBI-008</x:v>
      </x:c>
    </x:row>
    <x:row r="23" ht="72" customHeight="1">
      <x:c r="A23" s="24" t="str">
        <x:v>Podcast; YouTube; Facebook; Telegram</x:v>
      </x:c>
      <x:c r="B23" s="24" t="str">
        <x:v>Gooaye 股癌</x:v>
      </x:c>
      <x:c r="C23" s="24" t="str">
        <x:v>https://www.youtube.com/@Gooaye</x:v>
      </x:c>
      <x:c r="D23" s="24" t="n">
        <x:v>176000</x:v>
      </x:c>
      <x:c r="E23" s="24" t="str">
        <x:v>中文</x:v>
      </x:c>
      <x:c r="F23" s="24" t="str">
        <x:v>台湾; 香港/大中华; 美国（内容市场）; 全球/跨境</x:v>
      </x:c>
      <x:c r="G23" s="24" t="str">
        <x:v>Retail investing; 美股/市场评论；Fintech/AI Finance; Crypto × Equity/新金融</x:v>
      </x:c>
      <x:c r="H23" s="24" t="str">
        <x:v>Creator-led media / Newsletter / Podcast</x:v>
      </x:c>
      <x:c r="I23" s="24" t="str">
        <x:v>P1</x:v>
      </x:c>
      <x:c r="J23" s="24" t="str">
        <x:v>Approve</x:v>
      </x:c>
      <x:c r="K23" s="24" t="str">
        <x:v>C3｜Outreach Ready</x:v>
      </x:c>
      <x:c r="L23" s="24" t="str"/>
      <x:c r="M23" s="24" t="str">
        <x:v>MK@gooaye.com</x:v>
      </x:c>
      <x:c r="N23" s="24" t="str">
        <x:v>待授权建联</x:v>
      </x:c>
      <x:c r="O23" s="24" t="str">
        <x:v>定位：Newsletter/podcast/media route
依据：direct audience fit; repeated historical sponsor evidence; creator-led media；内容 20/20；90天活跃 Yes；E2；核验 2026-09-05
判断：节目定位明确为将金融投资知识与海内外时事讲给散户，近期每周更新两次；YouTube 最新 20 期和 Podcast feed 显示稳定发布。近期连续 sponsor 证明商业执行成熟，官方 Facebook 简介公开联系邮箱。
风险/下一步：节目语言与题材较成人化，近期合作包含情趣用品；对保守金融品牌可能构成 brand-safety mismatch。赞助密度高，需确认排他、频控与品类冲突。；询问 podcast/YouTube/社群 media kit、听众与地域、host-read/定制形式、rate card、未来 8 周档期、成人内容环境与金融品类排他。</x:v>
      </x:c>
      <x:c r="P23" s="24" t="str">
        <x:v>CN-CRE-007</x:v>
      </x:c>
    </x:row>
    <x:row r="24" ht="72" customHeight="1">
      <x:c r="A24" s="24" t="str">
        <x:v>Podcast; YouTube; LinkedIn</x:v>
      </x:c>
      <x:c r="B24" s="24" t="str">
        <x:v>Andy Wang / Inspired Money</x:v>
      </x:c>
      <x:c r="C24" s="24" t="str">
        <x:v>https://www.inspiredmoney.fm/</x:v>
      </x:c>
      <x:c r="D24" s="24" t="n">
        <x:v>7510</x:v>
      </x:c>
      <x:c r="E24" s="24" t="str">
        <x:v>英文</x:v>
      </x:c>
      <x:c r="F24" s="24" t="str">
        <x:v>美国; 全球/跨境</x:v>
      </x:c>
      <x:c r="G24" s="24" t="str">
        <x:v>Retail investing；美股/市场评论; wealth planning</x:v>
      </x:c>
      <x:c r="H24" s="24" t="str">
        <x:v>独立 KOL / creator</x:v>
      </x:c>
      <x:c r="I24" s="24" t="str">
        <x:v>P1</x:v>
      </x:c>
      <x:c r="J24" s="24" t="str">
        <x:v>Approve</x:v>
      </x:c>
      <x:c r="K24" s="24" t="str">
        <x:v>C3｜Outreach Ready</x:v>
      </x:c>
      <x:c r="L24" s="24" t="str"/>
      <x:c r="M24" s="24" t="str">
        <x:v>hello@speaktofin.com</x:v>
      </x:c>
      <x:c r="N24" s="24" t="str">
        <x:v>待授权建联</x:v>
      </x:c>
      <x:c r="O24" s="24" t="str">
        <x:v>定位：Finance podcast/media and credentialed expert route
依据：supplier/media roster; direct audience/content fit; verified commercial route；内容 20/20；90天活跃 Yes；E3；核验 2026-09-06
判断：Twenty of twenty long videos are finance/wealth related. The official podcast reports a US-led audience across 160 countries, and FIN provides a current named commercial route for availability and rates. Treat as expert/media inventory rather than reach-only …
风险/下一步：Runnymede investment-adviser ownership creates an institutional-interest disclosure requirement; YouTube reach alone is modest and should not be used as the fu…；After authorization, ask FIN for Andy-specific availability, podcast/newsletter/LinkedIn audience, formats, rates, RIA compliance process and conflicts; request the same from Runn…</x:v>
      </x:c>
      <x:c r="P24" s="24" t="str">
        <x:v>SBI-029</x:v>
      </x:c>
    </x:row>
    <x:row r="25" ht="72" customHeight="1">
      <x:c r="A25" s="24" t="str">
        <x:v>Podcast; YouTube; Newsletter</x:v>
      </x:c>
      <x:c r="B25" s="24" t="str">
        <x:v>Mandi Woodruff-Santos / Brown Ambition</x:v>
      </x:c>
      <x:c r="C25" s="24" t="str">
        <x:v>https://brownambitionpodcast.com/</x:v>
      </x:c>
      <x:c r="D25" s="24" t="n">
        <x:v>6400</x:v>
      </x:c>
      <x:c r="E25" s="24" t="str">
        <x:v>英文</x:v>
      </x:c>
      <x:c r="F25" s="24" t="str">
        <x:v>美国</x:v>
      </x:c>
      <x:c r="G25" s="24" t="str">
        <x:v>Retail investing；careers and income; financial empowerment</x:v>
      </x:c>
      <x:c r="H25" s="24" t="str">
        <x:v>Creator-led media / Newsletter / Podcast</x:v>
      </x:c>
      <x:c r="I25" s="24" t="str">
        <x:v>P1</x:v>
      </x:c>
      <x:c r="J25" s="24" t="str">
        <x:v>Approve</x:v>
      </x:c>
      <x:c r="K25" s="24" t="str">
        <x:v>C3｜Outreach Ready</x:v>
      </x:c>
      <x:c r="L25" s="24" t="str"/>
      <x:c r="M25" s="24" t="str">
        <x:v>brownambitionpodcast@gmail.com</x:v>
      </x:c>
      <x:c r="N25" s="24" t="str">
        <x:v>待授权建联</x:v>
      </x:c>
      <x:c r="O25" s="24" t="str">
        <x:v>定位：Finance podcast/media route
依据：supplier/media roster; direct audience/content fit; verified commercial route；内容 6/7；90天活跃 Yes；E3；核验 2026-09-06
判断：The active creator-led show reaches a specific US audience of women of color, has substantial finance/career inventory, 5M+ first-party-reported downloads and three attributable commercial routes. Media-route approval does not require every YouTube item to be…
风险/下一步：The program mixes money, careers, culture and lifestyle, so finance inventory must be selected by episode/series. Some platform listings may mark explicit lang…；After authorization, compare direct show, FIN and iHeart routes for audience detail, host-read/custom formats, rates, minimum spend, rights, category restrictions and eight-week a…</x:v>
      </x:c>
      <x:c r="P25" s="24" t="str">
        <x:v>SBI-032</x:v>
      </x:c>
    </x:row>
    <x:row r="26" ht="72" customHeight="1">
      <x:c r="A26" s="24" t="str">
        <x:v>X</x:v>
      </x:c>
      <x:c r="B26" s="24" t="str">
        <x:v>Beth Kindig / I/O Fund (@Beth_Kindig)</x:v>
      </x:c>
      <x:c r="C26" s="24" t="str">
        <x:v>https://x.com/Beth_Kindig</x:v>
      </x:c>
      <x:c r="D26" s="24" t="n">
        <x:v>182546</x:v>
      </x:c>
      <x:c r="E26" s="24" t="str">
        <x:v>English</x:v>
      </x:c>
      <x:c r="F26" s="24" t="str">
        <x:v>美国; 全球/跨境</x:v>
      </x:c>
      <x:c r="G26" s="24" t="str">
        <x:v>美股/市场评论；Fintech/AI Finance; Retail investing</x:v>
      </x:c>
      <x:c r="H26" s="24" t="str">
        <x:v>独立 KOL / creator</x:v>
      </x:c>
      <x:c r="I26" s="24" t="str">
        <x:v>P1</x:v>
      </x:c>
      <x:c r="J26" s="24" t="str">
        <x:v>Approve</x:v>
      </x:c>
      <x:c r="K26" s="24" t="str">
        <x:v>C3｜Outreach Ready</x:v>
      </x:c>
      <x:c r="L26" s="24" t="str"/>
      <x:c r="M26" s="24" t="str">
        <x:v>marketing@io-fund.com</x:v>
      </x:c>
      <x:c r="N26" s="24" t="str">
        <x:v>待授权建联</x:v>
      </x:c>
      <x:c r="O26" s="24" t="str">
        <x:v>定位：Conditional direct bridge creator + creator-led research/media
依据：direct audience/content fit; root visibility; professional/content authority；内容 20/20；90天活跃 Yes；E3；核验 2026-09-06
判断：All latest 20 posts directly address AI/technology equities or industry economics, with 20 original/non-repost items and strong median visible interaction. Two roots currently follow Beth, and the official partnership route makes the account commercially exec…
风险/下一步：Creator-owned investment product, disclosed positions and audited-performance marketing create conflicts. Use for AI/technology equity research and educational…；Prepared outreach may ask for media kit, audience geography, formats, rates, availability, conflicts and disclosure controls; do not send without user authorization.</x:v>
      </x:c>
      <x:c r="P26" s="24" t="str">
        <x:v>CN-X2-004</x:v>
      </x:c>
    </x:row>
    <x:row r="27" ht="72" customHeight="1">
      <x:c r="A27" s="24" t="str">
        <x:v>X</x:v>
      </x:c>
      <x:c r="B27" s="24" t="str">
        <x:v>Eric Jackson / Event Horizon IQ / EMJ Capital (@ericjackson)</x:v>
      </x:c>
      <x:c r="C27" s="24" t="str">
        <x:v>https://x.com/ericjackson</x:v>
      </x:c>
      <x:c r="D27" s="24" t="n">
        <x:v>173193</x:v>
      </x:c>
      <x:c r="E27" s="24" t="str">
        <x:v>English</x:v>
      </x:c>
      <x:c r="F27" s="24" t="str">
        <x:v>美国; 加拿大; 全球/跨境</x:v>
      </x:c>
      <x:c r="G27" s="24" t="str">
        <x:v>Crypto × Equity/新金融；美股/市场评论; Fintech/AI Finance</x:v>
      </x:c>
      <x:c r="H27" s="24" t="str">
        <x:v>独立 KOL / creator</x:v>
      </x:c>
      <x:c r="I27" s="24" t="str">
        <x:v>P1</x:v>
      </x:c>
      <x:c r="J27" s="24" t="str">
        <x:v>Approve</x:v>
      </x:c>
      <x:c r="K27" s="24" t="str">
        <x:v>C2｜Outreach Ready</x:v>
      </x:c>
      <x:c r="L27" s="24" t="str"/>
      <x:c r="M27" s="24" t="str">
        <x:v>eric@eventhorizoniq.com</x:v>
      </x:c>
      <x:c r="N27" s="24" t="str">
        <x:v>待授权建联</x:v>
      </x:c>
      <x:c r="O27" s="24" t="str">
        <x:v>定位：Conditional finance/prediction-market expert + creator-led research route
依据：direct audience/content fit; root visibility; professional/content authority；内容 6/20；90天活跃 Yes；E3；核验 2026-09-06
判断：The latest slice contains about 6/20 directly finance/investment items, while a targeted 90-day query returned 60 authored finance/prediction-market posts. Two roots follow Eric and official professional routes exist. Approval is campaign-bounded for expert c…
风险/下一步：Current feed has broadened into entertainment-industry financial/legal investigations, reducing pure finance density. Event Horizon IQ publishes strong model/p…；Prepared verification outreach may ask whether Eric accepts expert/media partnerships and request formats, rates, availability and conflicts. Exclude competing research/signal pro…</x:v>
      </x:c>
      <x:c r="P27" s="24" t="str">
        <x:v>CN-X2-006</x:v>
      </x:c>
    </x:row>
    <x:row r="28" ht="72" customHeight="1">
      <x:c r="A28" s="24" t="str">
        <x:v>X</x:v>
      </x:c>
      <x:c r="B28" s="24" t="str">
        <x:v>XinGPT (@xingpt)</x:v>
      </x:c>
      <x:c r="C28" s="24" t="str">
        <x:v>https://x.com/xingpt</x:v>
      </x:c>
      <x:c r="D28" s="24" t="n">
        <x:v>57661</x:v>
      </x:c>
      <x:c r="E28" s="24" t="str">
        <x:v>中文</x:v>
      </x:c>
      <x:c r="F28" s="24" t="str">
        <x:v>美国（内容市场）; 香港/大中华; 全球/跨境</x:v>
      </x:c>
      <x:c r="G28" s="24" t="str">
        <x:v>Fintech/AI Finance；美股/市场评论; Crypto × Equity/新金融; Trading/options</x:v>
      </x:c>
      <x:c r="H28" s="24" t="str">
        <x:v>独立 KOL / creator</x:v>
      </x:c>
      <x:c r="I28" s="24" t="str">
        <x:v>P1</x:v>
      </x:c>
      <x:c r="J28" s="24" t="str">
        <x:v>Approve</x:v>
      </x:c>
      <x:c r="K28" s="24" t="str">
        <x:v>C3｜Outreach Ready</x:v>
      </x:c>
      <x:c r="L28" s="24" t="str"/>
      <x:c r="M28" s="24" t="str">
        <x:v>x.jiang0808@gmail.com</x:v>
      </x:c>
      <x:c r="N28" s="24" t="str">
        <x:v>待授权建联</x:v>
      </x:c>
      <x:c r="O28" s="24" t="str">
        <x:v>定位：Conditional direct bridge creator
依据：direct audience fit; professional/content authority; root visibility/interaction；内容 147/326；90天活跃 Yes；E3；核验 2026-09-06
判断：Sustained original AI/semiconductor and market research, a directly disclosed AI-tool sponsor case and a creator-authorized business email support conditional approval. No stable/guaranteed-return claim was observed in the complete 90-day X window; paid signa…
风险/下一步：Paid membership contains specific positions and post-hoc performance references; the public feed also includes crypto/meme speculation and operational trading …；Prepared outreach may request AI Finance/research-tool formats, rate card, audience, availability, conflicts and disclosure controls. Do not send without authorization and do not …</x:v>
      </x:c>
      <x:c r="P28" s="24" t="str">
        <x:v>CN-X-007</x:v>
      </x:c>
    </x:row>
    <x:row r="29" ht="72" customHeight="1">
      <x:c r="A29" s="24" t="str">
        <x:v>YouTube</x:v>
      </x:c>
      <x:c r="B29" s="24" t="str">
        <x:v>茄利略・CUP</x:v>
      </x:c>
      <x:c r="C29" s="24" t="str">
        <x:v>https://www.youtube.com/@KelileoCUP</x:v>
      </x:c>
      <x:c r="D29" s="24" t="n">
        <x:v>95500</x:v>
      </x:c>
      <x:c r="E29" s="24" t="str">
        <x:v>中文</x:v>
      </x:c>
      <x:c r="F29" s="24" t="str">
        <x:v>香港/大中华; 全球/跨境; 美国（内容市场）</x:v>
      </x:c>
      <x:c r="G29" s="24" t="str">
        <x:v>美股/市场评论; Trading/options；Crypto × Equity/新金融; Retail investing</x:v>
      </x:c>
      <x:c r="H29" s="24" t="str">
        <x:v>独立 KOL / creator</x:v>
      </x:c>
      <x:c r="I29" s="24" t="str">
        <x:v>P1</x:v>
      </x:c>
      <x:c r="J29" s="24" t="str">
        <x:v>Approve</x:v>
      </x:c>
      <x:c r="K29" s="24" t="str">
        <x:v>C2｜Outreach Ready</x:v>
      </x:c>
      <x:c r="L29" s="24" t="str"/>
      <x:c r="M29" s="24" t="str">
        <x:v>kelileocup@gmail.com</x:v>
      </x:c>
      <x:c r="N29" s="24" t="str">
        <x:v>待授权建联</x:v>
      </x:c>
      <x:c r="O29" s="24" t="str">
        <x:v>定位：Direct bridge creator
依据：direct audience fit; content credibility; cross-border market expertise；内容 20/20；90天活跃 Yes；E3；核验 2026-09-05
判断：低频长内容按最近 20 期人工复核，20/20 直接覆盖美股、科技、宏观、商品或交易；最新一期在 90 天内，内容包含数据、反方风险和持仓披露。公开邮箱可执行，但尚无公开 sponsor 案例，因此为 C2。
风险/下一步：持仓与 Patreon 付费内容已公开披露；少量‘爆升/寻宝’标题需要 campaign 逐案审阅，但当前代表内容明确说明不构成追涨或个性化建议。；询问是否接受品牌合作，并索取 media kit、受众、合作形式、rate card、档期、持仓/品类冲突与历史案例。</x:v>
      </x:c>
      <x:c r="P29" s="24" t="str">
        <x:v>CN-CRE-002</x:v>
      </x:c>
    </x:row>
    <x:row r="30" ht="72" customHeight="1">
      <x:c r="A30" s="24" t="str">
        <x:v>YouTube</x:v>
      </x:c>
      <x:c r="B30" s="24" t="str">
        <x:v>美投讲美股</x:v>
      </x:c>
      <x:c r="C30" s="24" t="str">
        <x:v>https://www.youtube.com/@MeiTouJun</x:v>
      </x:c>
      <x:c r="D30" s="24" t="n">
        <x:v>688000</x:v>
      </x:c>
      <x:c r="E30" s="24" t="str">
        <x:v>中文</x:v>
      </x:c>
      <x:c r="F30" s="24" t="str">
        <x:v>美国（内容市场）; 全球/跨境; 中文投资者（受众地域为推断）</x:v>
      </x:c>
      <x:c r="G30" s="24" t="str">
        <x:v>美股/市场评论; Retail investing; Trading/options；Fintech/AI Finance</x:v>
      </x:c>
      <x:c r="H30" s="24" t="str">
        <x:v>独立 KOL / creator</x:v>
      </x:c>
      <x:c r="I30" s="24" t="str">
        <x:v>P1</x:v>
      </x:c>
      <x:c r="J30" s="24" t="str">
        <x:v>Approve</x:v>
      </x:c>
      <x:c r="K30" s="24" t="str">
        <x:v>C3｜Outreach Ready</x:v>
      </x:c>
      <x:c r="L30" s="24" t="str"/>
      <x:c r="M30" s="24" t="str">
        <x:v>meitouinvesting@gmail.com</x:v>
      </x:c>
      <x:c r="N30" s="24" t="str">
        <x:v>待授权建联</x:v>
      </x:c>
      <x:c r="O30" s="24" t="str">
        <x:v>定位：Direct bridge creator
依据：direct audience fit; historical sponsor/affiliate evidence; content credibility；内容 20/20；90天活跃 Yes；E3；核验 2026-09-05
判断：最近 20 条长视频人工复核为 20/20 美股、AI、财报、宏观或交易相关；频道持续原创、近期活跃，公开商务邮箱成立，且 Moomoo 专属活动可验证历史商业合作。高相关不消除强营销及自营产品冲突风险。
风险/下一步：标题和自营产品文案包含‘早看早赚钱’‘安心赚取被动收入’‘爆发/致富机会’等强营销表达；另有实时交易分享、课程与券商 affiliate，投放前必须核对具体脚本、披露和品类冲突。；询问 media kit、平台/地域受众、合作形式、rate card、未来 8 周档期、券商/投研品类冲突、内容审阅与披露流程。</x:v>
      </x:c>
      <x:c r="P30" s="24" t="str">
        <x:v>CN-CRE-001</x:v>
      </x:c>
    </x:row>
    <x:row r="31" ht="72" customHeight="1">
      <x:c r="A31" s="24" t="str">
        <x:v>YouTube</x:v>
      </x:c>
      <x:c r="B31" s="24" t="str">
        <x:v>Better Leaf 好葉</x:v>
      </x:c>
      <x:c r="C31" s="24" t="str">
        <x:v>https://www.youtube.com/@betterleaf</x:v>
      </x:c>
      <x:c r="D31" s="24" t="n">
        <x:v>1020000</x:v>
      </x:c>
      <x:c r="E31" s="24" t="str">
        <x:v>中文</x:v>
      </x:c>
      <x:c r="F31" s="24" t="str">
        <x:v>台湾; 香港/大中华; 美国（内容市场）; 全球/跨境</x:v>
      </x:c>
      <x:c r="G31" s="24" t="str">
        <x:v>Retail investing；美股/市场评论; Trading/options</x:v>
      </x:c>
      <x:c r="H31" s="24" t="str">
        <x:v>独立 KOL / creator</x:v>
      </x:c>
      <x:c r="I31" s="24" t="str">
        <x:v>P1</x:v>
      </x:c>
      <x:c r="J31" s="24" t="str">
        <x:v>Approve</x:v>
      </x:c>
      <x:c r="K31" s="24" t="str">
        <x:v>C3｜Outreach Ready</x:v>
      </x:c>
      <x:c r="L31" s="24" t="str"/>
      <x:c r="M31" s="24" t="str">
        <x:v>betterleafbusiness@gmail.com</x:v>
      </x:c>
      <x:c r="N31" s="24" t="str">
        <x:v>待授权建联</x:v>
      </x:c>
      <x:c r="O31" s="24" t="str">
        <x:v>定位：Conditional direct bridge creator
依据：supplier/media roster; direct audience/content fit; verified commercial route；内容 12/12；90天活跃 Yes；E3；核验 2026-09-06
判断：Twelve of twelve recent long videos directly cover finance, the channel has a large Chinese-speaking audience, a clearly labeled business email and consistent affiliate/risk disclosure. Approval is conditional on category-conflict and claims controls.
风险/下一步：High density of self-owned courses/tools and broker affiliate links creates category conflicts. Historical-return headlines are mostly third-party educational …；After authorization, request media kit, market/platform audience, formats, rate card, availability, CMoney scope, broker exclusivity and current affiliate conflicts through the di…</x:v>
      </x:c>
      <x:c r="P31" s="24" t="str">
        <x:v>SBI-055</x:v>
      </x:c>
    </x:row>
    <x:row r="32" ht="72" customHeight="1">
      <x:c r="A32" s="24" t="str">
        <x:v>YouTube</x:v>
      </x:c>
      <x:c r="B32" s="24" t="str">
        <x:v>Brian Shannon (Alphatrends)</x:v>
      </x:c>
      <x:c r="C32" s="24" t="str">
        <x:v>https://www.youtube.com/channel/UCfD3rq06LaA8wc3s2m3LwRQ</x:v>
      </x:c>
      <x:c r="D32" s="24" t="n">
        <x:v>233000</x:v>
      </x:c>
      <x:c r="E32" s="24" t="str">
        <x:v>英文</x:v>
      </x:c>
      <x:c r="F32" s="24" t="str">
        <x:v>美国（受众地域按原证据置信度）</x:v>
      </x:c>
      <x:c r="G32" s="24" t="str">
        <x:v>Trading/options；美股/市场评论</x:v>
      </x:c>
      <x:c r="H32" s="24" t="str">
        <x:v>独立 KOL / creator</x:v>
      </x:c>
      <x:c r="I32" s="24" t="str">
        <x:v>P1</x:v>
      </x:c>
      <x:c r="J32" s="24" t="str">
        <x:v>Approve</x:v>
      </x:c>
      <x:c r="K32" s="24" t="str">
        <x:v>C2｜Outreach Ready</x:v>
      </x:c>
      <x:c r="L32" s="24" t="str"/>
      <x:c r="M32" s="24" t="str">
        <x:v>https://alphatrends.net/contact-us/</x:v>
      </x:c>
      <x:c r="N32" s="24" t="str">
        <x:v>待授权建联</x:v>
      </x:c>
      <x:c r="O32" s="24" t="str">
        <x:v>定位：Direct bridge creator
依据：professional authority/content credibility; direct audience fit; historical sponsor/partner evidence；内容 20/20；90天活跃 Yes；E2；核验 2026-09-04T12:41:48+08:00
判断：20/20 符合 trading/market lane，原创、活跃与品牌安全 gate 通过；表现和商业路径偏弱。
风险/下一步：自然触达相对订阅数偏低；部分内容混合 crypto，但核心仍为市场技术教育。；批准后核业务联系人、受众地域、技术分析合规边界和 X root relations。</x:v>
      </x:c>
      <x:c r="P32" s="24" t="str">
        <x:v>CRT-005</x:v>
      </x:c>
    </x:row>
    <x:row r="33" ht="72" customHeight="1">
      <x:c r="A33" s="24" t="str">
        <x:v>YouTube</x:v>
      </x:c>
      <x:c r="B33" s="24" t="str">
        <x:v>Graham Stephan</x:v>
      </x:c>
      <x:c r="C33" s="24" t="str">
        <x:v>https://www.youtube.com/@GrahamStephan</x:v>
      </x:c>
      <x:c r="D33" s="24" t="n">
        <x:v>5180000</x:v>
      </x:c>
      <x:c r="E33" s="24" t="str">
        <x:v>英文</x:v>
      </x:c>
      <x:c r="F33" s="24" t="str">
        <x:v>美国; 全球/跨境</x:v>
      </x:c>
      <x:c r="G33" s="24" t="str">
        <x:v>Retail investing；美股/市场评论; real estate</x:v>
      </x:c>
      <x:c r="H33" s="24" t="str">
        <x:v>独立 KOL / creator</x:v>
      </x:c>
      <x:c r="I33" s="24" t="str">
        <x:v>P1</x:v>
      </x:c>
      <x:c r="J33" s="24" t="str">
        <x:v>Approve</x:v>
      </x:c>
      <x:c r="K33" s="24" t="str">
        <x:v>C3｜Outreach Ready</x:v>
      </x:c>
      <x:c r="L33" s="24" t="str"/>
      <x:c r="M33" s="24" t="str">
        <x:v>grahamstephanbusiness@gmail.com</x:v>
      </x:c>
      <x:c r="N33" s="24" t="str">
        <x:v>待授权建联</x:v>
      </x:c>
      <x:c r="O33" s="24" t="str">
        <x:v>定位：Conditional direct bridge creator
依据：supplier/media roster; direct audience/content fit; verified commercial route；内容 13/20；90天活跃 Yes；E3；核验 2026-09-06
判断：Twenty recent long videos and twenty Shorts show sustained US personal-finance/market output, while a current direct business email, partnership form and repeated disclosed sponsors make the creator commercially executable. Approval is campaign-bounded rather…
风险/下一步：Sensational macro/crash framing, dense sponsor/affiliate activity and broker/crypto category conflicts. Require claim, disclosure and exclusivity review per ca…；After send authorization, request media kit, audience geography, current sponsor conflicts, available formats, rate card and eight-week availability through the direct business ro…</x:v>
      </x:c>
      <x:c r="P33" s="24" t="str">
        <x:v>SBI-034</x:v>
      </x:c>
    </x:row>
    <x:row r="34" ht="72" customHeight="1">
      <x:c r="A34" s="24" t="str">
        <x:v>YouTube; Podcast; CMoney</x:v>
      </x:c>
      <x:c r="B34" s="24" t="str">
        <x:v>林恩如</x:v>
      </x:c>
      <x:c r="C34" s="24" t="str">
        <x:v>https://www.youtube.com/@enrumoney</x:v>
      </x:c>
      <x:c r="D34" s="24" t="n">
        <x:v>22600</x:v>
      </x:c>
      <x:c r="E34" s="24" t="str">
        <x:v>中文</x:v>
      </x:c>
      <x:c r="F34" s="24" t="str">
        <x:v>台湾; 香港/大中华; 全球/跨境</x:v>
      </x:c>
      <x:c r="G34" s="24" t="str">
        <x:v>Trading/options；Retail investing; 台股/全球市场教育</x:v>
      </x:c>
      <x:c r="H34" s="24" t="str">
        <x:v>独立 KOL / creator</x:v>
      </x:c>
      <x:c r="I34" s="24" t="str">
        <x:v>P1</x:v>
      </x:c>
      <x:c r="J34" s="24" t="str">
        <x:v>Approve</x:v>
      </x:c>
      <x:c r="K34" s="24" t="str">
        <x:v>C3｜Outreach Ready</x:v>
      </x:c>
      <x:c r="L34" s="24" t="str"/>
      <x:c r="M34" s="24" t="str">
        <x:v>stockimoney@gmail.com</x:v>
      </x:c>
      <x:c r="N34" s="24" t="str">
        <x:v>待授权建联</x:v>
      </x:c>
      <x:c r="O34" s="24" t="str">
        <x:v>定位：Conditional direct bridge creator
依据：supplier/media roster; direct audience/content fit; verified commercial route；内容 19/19；90天活跃 Yes；E3；核验 2026-09-06
判断：Nineteen of nineteen recent long videos directly cover investing/trading, a creator-authorized cooperation email is public, and the CMoney product relationship is explicit. Approval is limited to educational/market-tool work with strict separation from perfor…
风险/下一步：Creator and CMoney pages use winner/easy-profit framing and self-reported peak performance, including a 1,015% best-stock result. These are conflict and claims…；After authorization, ask the creator directly for media kit, Taiwan/Chinese audience, cooperation formats, rates, availability, CMoney exclusivity and claims/disclosure controls; …</x:v>
      </x:c>
      <x:c r="P34" s="24" t="str">
        <x:v>SBI-049</x:v>
      </x:c>
    </x:row>
    <x:row r="35" ht="72" customHeight="1">
      <x:c r="A35" s="24" t="str">
        <x:v>X</x:v>
      </x:c>
      <x:c r="B35" s="24" t="str">
        <x:v>Unclestocknotes (@Unclestocknotes)</x:v>
      </x:c>
      <x:c r="C35" s="24" t="str">
        <x:v>https://x.com/Unclestocknotes</x:v>
      </x:c>
      <x:c r="D35" s="24" t="n">
        <x:v>29534</x:v>
      </x:c>
      <x:c r="E35" s="24" t="str">
        <x:v>中文; English; 双语</x:v>
      </x:c>
      <x:c r="F35" s="24" t="str">
        <x:v>美国; 香港/大中华; 全球/跨境</x:v>
      </x:c>
      <x:c r="G35" s="24" t="str">
        <x:v>美股/市场评论；Fintech/AI Finance; Retail investing</x:v>
      </x:c>
      <x:c r="H35" s="24" t="str">
        <x:v>独立 KOL / creator</x:v>
      </x:c>
      <x:c r="I35" s="24" t="str">
        <x:v>P1 named-editor route verification</x:v>
      </x:c>
      <x:c r="J35" s="24" t="str">
        <x:v>Approve</x:v>
      </x:c>
      <x:c r="K35" s="24" t="str">
        <x:v>C2｜Outreach Ready</x:v>
      </x:c>
      <x:c r="L35" s="24" t="str"/>
      <x:c r="M35" s="24" t="str">
        <x:v>https://substack.com/@anthony8899</x:v>
      </x:c>
      <x:c r="N35" s="24" t="str">
        <x:v>待授权建联</x:v>
      </x:c>
      <x:c r="O35" s="24" t="str">
        <x:v>定位：Bilingual US-equity newsletter/media + direct bridge creator
依据：direct audience/content fit; root visibility; professional/content authority；内容 9/20；90天活跃 Yes；E3；核验 2026-09-06
判断：The official QA page names Anthony and K.C. for non-platform questions, and Anthony's live profile shows current publication activity. This supports a narrow, creator-authorized referral inquiry. It does not establish agency status, commercial authority, rate…
风险/下一步：Paid-member materials include the creator's holdings, buy/sell activity and individual-stock views. This is not an automatic reject, but trading/signal-like br…；After explicit send authorization, ask Anthony whether he is the correct contact for brand partnerships or can refer the responsible person. Only if confirmed, request media kit, …</x:v>
      </x:c>
      <x:c r="P35" s="24" t="str">
        <x:v>CN-X2-002</x:v>
      </x:c>
    </x:row>
    <x:row r="36" ht="72" customHeight="1">
      <x:c r="A36" s="24" t="str">
        <x:v>YouTube</x:v>
      </x:c>
      <x:c r="B36" s="24" t="str">
        <x:v>Mark Tilbury</x:v>
      </x:c>
      <x:c r="C36" s="24" t="str">
        <x:v>https://www.youtube.com/@marktilbury</x:v>
      </x:c>
      <x:c r="D36" s="24" t="n">
        <x:v>8920000</x:v>
      </x:c>
      <x:c r="E36" s="24" t="str">
        <x:v>英文</x:v>
      </x:c>
      <x:c r="F36" s="24" t="str">
        <x:v>英国; 全球/跨境（audience geography unverified）</x:v>
      </x:c>
      <x:c r="G36" s="24" t="str">
        <x:v>Retail investing；Fintech/AI Finance; broad wealth education; entrepreneurship</x:v>
      </x:c>
      <x:c r="H36" s="24" t="str">
        <x:v>独立 KOL / creator</x:v>
      </x:c>
      <x:c r="I36" s="24" t="str">
        <x:v>P2 brief-specific creator</x:v>
      </x:c>
      <x:c r="J36" s="24" t="str">
        <x:v>Approve</x:v>
      </x:c>
      <x:c r="K36" s="24" t="str">
        <x:v>C3｜Outreach Ready</x:v>
      </x:c>
      <x:c r="L36" s="24" t="str"/>
      <x:c r="M36" s="24" t="str">
        <x:v>mark@marktilbury.com</x:v>
      </x:c>
      <x:c r="N36" s="24" t="str">
        <x:v>待授权建联</x:v>
      </x:c>
      <x:c r="O36" s="24" t="str">
        <x:v>定位：Conditional direct bridge creator
依据：direct mass-market audience fit; current fintech sponsor precedent; creator-authorized business route；内容 3/3；90天活跃 Yes；E3；核验 2026-09-06
判断：The earlier Question applied the initial five lanes too rigidly. Mango's open taxonomy allows a commercially executable, current broad-wealth/fintech creator to be approved for a narrow use case even though recent finance density is low.
风险/下一步：Current output is mostly side-hustle/entrepreneurship rather than finance-first; high-reach mass audience, brokerage conflicts and copy-me framing require per-…；After send authorization, request a current media kit, platform/audience geography, finance-specific inventory, brand formats, rates, eight-week availability, Trading 212 and othe…</x:v>
      </x:c>
      <x:c r="P36" s="24" t="str">
        <x:v>SBI-039</x:v>
      </x:c>
    </x:row>
    <x:row r="37" ht="72" customHeight="1">
      <x:c r="A37" s="24" t="str">
        <x:v>X</x:v>
      </x:c>
      <x:c r="B37" s="24" t="str">
        <x:v>安东尼 Anthony / 1kB Capital</x:v>
      </x:c>
      <x:c r="C37" s="24" t="str">
        <x:v>https://x.com/1kbxx</x:v>
      </x:c>
      <x:c r="D37" s="24" t="n">
        <x:v>25061</x:v>
      </x:c>
      <x:c r="E37" s="24" t="str">
        <x:v>中文; 英文</x:v>
      </x:c>
      <x:c r="F37" s="24" t="str">
        <x:v>全球/跨境; 美国（professional proxy）; 香港/大中华</x:v>
      </x:c>
      <x:c r="G37" s="24" t="str">
        <x:v>Crypto × Equity/新金融；Trading/options</x:v>
      </x:c>
      <x:c r="H37" s="24" t="str">
        <x:v>独立 KOL / creator</x:v>
      </x:c>
      <x:c r="I37" s="24" t="str">
        <x:v>P1</x:v>
      </x:c>
      <x:c r="J37" s="24" t="str">
        <x:v>Question</x:v>
      </x:c>
      <x:c r="K37" s="24" t="str">
        <x:v>C2｜Outreach Ready</x:v>
      </x:c>
      <x:c r="L37" s="24" t="str"/>
      <x:c r="M37" s="24" t="str">
        <x:v>contact@1kb.capital</x:v>
      </x:c>
      <x:c r="N37" s="24" t="str">
        <x:v>待授权建联</x:v>
      </x:c>
      <x:c r="O37" s="24" t="str">
        <x:v>定位：Question — creator-founder and crypto investment professional; not a supplier or manager
依据：直接受众匹配; 专业权威与内容可信度; root visibility; root interaction; 历史 sponsor/商业证据；内容 11/20；90天活跃 Yes；E3；核验 2026-09-06
判断：A real email now makes the key gaps answerable, but the near-name regulator entries cannot be merged. Anthony remains Question until the licensed entity mapping, creator-campaign acceptance, conflicts and performance-claim controls are clarified.
风险/下一步：Official site makes high performance claims. BVI FSC lists 1kB Capital Limited as an Approved Fund and separately lists 1KB TECHNOLOGY (BVI) LIMITED as an Appr…；Use the official email only after authorization to ask for legal entity/license mapping, creator/media partnership acceptance, media kit, rates, availability, conflicts and disclo…</x:v>
      </x:c>
      <x:c r="P37" s="24" t="str">
        <x:v>CN-X4-005</x:v>
      </x:c>
    </x:row>
    <x:row r="38" ht="72" customHeight="1">
      <x:c r="A38" s="24" t="str">
        <x:v>Bilibili</x:v>
      </x:c>
      <x:c r="B38" s="24" t="str">
        <x:v>珍大户</x:v>
      </x:c>
      <x:c r="C38" s="24" t="str">
        <x:v>https://space.bilibili.com/355327690</x:v>
      </x:c>
      <x:c r="D38" s="24" t="n">
        <x:v>1364727</x:v>
      </x:c>
      <x:c r="E38" s="24" t="str">
        <x:v>中文</x:v>
      </x:c>
      <x:c r="F38" s="24" t="str">
        <x:v>中国内地; 香港/大中华; 全球/跨境</x:v>
      </x:c>
      <x:c r="G38" s="24" t="str">
        <x:v>Retail investing；美股/市场评论</x:v>
      </x:c>
      <x:c r="H38" s="24" t="str">
        <x:v>独立 KOL / creator</x:v>
      </x:c>
      <x:c r="I38" s="24" t="str">
        <x:v>P1</x:v>
      </x:c>
      <x:c r="J38" s="24" t="str">
        <x:v>Approve</x:v>
      </x:c>
      <x:c r="K38" s="24" t="str">
        <x:v>C0｜Route gap — content approved, outreach not ready</x:v>
      </x:c>
      <x:c r="L38" s="24" t="str"/>
      <x:c r="M38" s="24" t="str">
        <x:v>No creator-authorized brand-business route observed; Knowledge Planet is a self-owned product, not a business contact</x:v>
      </x:c>
      <x:c r="N38" s="24" t="str">
        <x:v>Find a creator-authorized brand partnership route or request permission-based introduction through …</x:v>
      </x:c>
      <x:c r="O38" s="24" t="str">
        <x:v>定位：Direct bridge creator
依据：direct audience/content fit; professional/content authority; strong current organic performance；内容 11/20；90天活跃 Yes；E3；核验 2026-09-06
判断：The recent long-form sample is highly economics/finance relevant with substantial median reach and engagement. Approval is content-level only because no brand-business endpoint is verified.
风险/下一步：Owns a paid Knowledge Planet/course ecosystem and publishes macro predictions. Conflicts, holdings, sponsor disclosure and investment-claim controls require ve…；Find a creator-authorized brand partnership route or request permission-based introduction through a verified collaborator; do not treat the community or consultation product as a…</x:v>
      </x:c>
      <x:c r="P38" s="24" t="str">
        <x:v>CN-LC-011</x:v>
      </x:c>
    </x:row>
    <x:row r="39" ht="72" customHeight="1">
      <x:c r="A39" s="24" t="str">
        <x:v>Toutiao; Douyin</x:v>
      </x:c>
      <x:c r="B39" s="24" t="str">
        <x:v>立说财经田立</x:v>
      </x:c>
      <x:c r="C39" s="24" t="str">
        <x:v>https://www.toutiao.com/c/user/token/MS4wLjABAAAAXj0RnY1gRD2nLMVN_LafbgJo4blTCedAc1kTXTTdA64A3RxjXKwbGk24oODPMfqd/</x:v>
      </x:c>
      <x:c r="D39" s="24" t="n">
        <x:v>2702000</x:v>
      </x:c>
      <x:c r="E39" s="24" t="str">
        <x:v>中文</x:v>
      </x:c>
      <x:c r="F39" s="24" t="str">
        <x:v>中国内地; 香港/大中华; 全球/跨境</x:v>
      </x:c>
      <x:c r="G39" s="24" t="str">
        <x:v>美股/市场评论；Retail investing; 宏观/地缘经济</x:v>
      </x:c>
      <x:c r="H39" s="24" t="str">
        <x:v>独立 KOL / creator</x:v>
      </x:c>
      <x:c r="I39" s="24" t="str">
        <x:v>P1</x:v>
      </x:c>
      <x:c r="J39" s="24" t="str">
        <x:v>Approve</x:v>
      </x:c>
      <x:c r="K39" s="24" t="str">
        <x:v>C1｜Verification only — management and booking authority unconfirmed</x:v>
      </x:c>
      <x:c r="L39" s="24" t="str"/>
      <x:c r="M39" s="24" t="str">
        <x:v>Covered by the existing 奇光MCN verification request; no creator-authorized direct brand route observed</x:v>
      </x:c>
      <x:c r="N39" s="24" t="str">
        <x:v>Keep inside the prepared 奇光 roster verification request: confirm current relationship label, indivi…</x:v>
      </x:c>
      <x:c r="O39" s="24" t="str">
        <x:v>定位：Direct bridge creator
依据：direct audience fit; professional authority; current finance/macro content; supplier roster lead; public sponsor precedent；内容 8/11；90天活跃 Yes；E3；核验 2026-09-06
判断：The former Bilibili match was a non-primary stale account. The current verified Toutiao/Douyin identity is active, finance/macro-dense and reaches a large Chinese audience, so creator approval no longer depends on proving the supplier relationship.
风险/下一步：Broad macro/geopolitical and finance mix; strong headline framing; current brand/product posts. No severe paid-securities, guaranteed-return or undisclosed-int…；Keep inside the prepared 奇光 roster verification request: confirm current relationship label, individual bookability, formats, rates, disclosure controls and eight-week availabilit…</x:v>
      </x:c>
      <x:c r="P39" s="24" t="str">
        <x:v>CN-LC-001</x:v>
      </x:c>
    </x:row>
    <x:row r="40" ht="72" customHeight="1">
      <x:c r="A40" s="24" t="str">
        <x:v>Toutiao; Douyin; WeChat/Video Accounts</x:v>
      </x:c>
      <x:c r="B40" s="24" t="str">
        <x:v>N小黑财经</x:v>
      </x:c>
      <x:c r="C40" s="24" t="str">
        <x:v>https://www.toutiao.com/c/user/token/MS4wLjABAAAABxpQhO_Lu-Qcb0PgI8Ik4uu2FidZVlSYuyclLoyrYxo/</x:v>
      </x:c>
      <x:c r="D40" s="24" t="n">
        <x:v>188000</x:v>
      </x:c>
      <x:c r="E40" s="24" t="str">
        <x:v>中文</x:v>
      </x:c>
      <x:c r="F40" s="24" t="str">
        <x:v>中国内地; 香港/大中华; 全球/跨境</x:v>
      </x:c>
      <x:c r="G40" s="24" t="str">
        <x:v>美股/市场评论；Retail investing; 商业/产业经济</x:v>
      </x:c>
      <x:c r="H40" s="24" t="str">
        <x:v>Creator-led media / Newsletter / Podcast</x:v>
      </x:c>
      <x:c r="I40" s="24" t="str">
        <x:v>P1</x:v>
      </x:c>
      <x:c r="J40" s="24" t="str">
        <x:v>Approve</x:v>
      </x:c>
      <x:c r="K40" s="24" t="str">
        <x:v>C2｜Verified publisher route — N小黑-specific inventory and availability require reply</x:v>
      </x:c>
      <x:c r="L40" s="24" t="str"/>
      <x:c r="M40" s="24" t="str">
        <x:v>Covered by the existing National Business Daily media-business outreach row; no duplicate creator outreach</x:v>
      </x:c>
      <x:c r="N40" s="24" t="str">
        <x:v>Ask NBD, inside its existing prepared outreach, whether N小黑财经 is currently campaign-buyable and req…</x:v>
      </x:c>
      <x:c r="O40" s="24" t="str">
        <x:v>定位：Newsletter/podcast/media route
依据：publisher-owned media inventory; direct finance/economy audience fit; current platform-native content; current publisher sales route；内容 8/12；90天活跃 Yes；E3；核验 2026-09-06
判断：The former Bilibili-only view was the wrong basis. A current platform-native profile directly verifies NBD ownership, a material audience and active finance/economy distribution, supporting approval as owned media rather than as an independent KOL.
风险/下一步：Current feed mixes finance/economy with geopolitics and military-adjacent stories. Use only after campaign-level content adjacency review.；Ask NBD, inside its existing prepared outreach, whether N小黑财经 is currently campaign-buyable and request formats, audience, pricing, compliance rules and eight-week availability.</x:v>
      </x:c>
      <x:c r="P40" s="24" t="str">
        <x:v>CN-LC-007</x:v>
      </x:c>
    </x:row>
    <x:row r="41" ht="72" customHeight="1">
      <x:c r="A41" s="24" t="str">
        <x:v>X</x:v>
      </x:c>
      <x:c r="B41" s="24" t="str">
        <x:v>解构师 Beyond</x:v>
      </x:c>
      <x:c r="C41" s="24" t="str">
        <x:v>https://x.com/0xBeyondLee</x:v>
      </x:c>
      <x:c r="D41" s="24" t="n">
        <x:v>43136</x:v>
      </x:c>
      <x:c r="E41" s="24" t="str">
        <x:v>中文</x:v>
      </x:c>
      <x:c r="F41" s="24" t="str">
        <x:v>香港/大中华; 全球/跨境</x:v>
      </x:c>
      <x:c r="G41" s="24" t="str">
        <x:v>Crypto × Equity/新金融；Fintech/AI Finance</x:v>
      </x:c>
      <x:c r="H41" s="24" t="str">
        <x:v>独立 KOL / creator</x:v>
      </x:c>
      <x:c r="I41" s="24" t="str">
        <x:v>P1</x:v>
      </x:c>
      <x:c r="J41" s="24" t="str">
        <x:v>Approve</x:v>
      </x:c>
      <x:c r="K41" s="24" t="str">
        <x:v>C1｜Covered by ChainPeak supplier outreach; representation and current availability unverified</x:v>
      </x:c>
      <x:c r="L41" s="24" t="str"/>
      <x:c r="M41" s="24" t="str">
        <x:v>ChainPeak's official KOL-campaign form/Telegram can be used to ask whether Beyond is currently campaign-buyable. This is a supplier-verification route, not a creator-authorized direct contact.</x:v>
      </x:c>
      <x:c r="N41" s="24" t="str">
        <x:v>Through the single ChainPeak supplier inquiry, ask whether Beyond is directly bookable, relationshi…</x:v>
      </x:c>
      <x:c r="O41" s="24" t="str">
        <x:v>定位：Chinese crypto/new-finance interaction bridge + conditional creator — not a supplier
依据：直接受众匹配; 专业权威与内容可信度; root visibility; root interaction; 历史 sponsor/商业证据；内容 3/20；90天活跃 Yes；E3；核验 2026-09-06
判断：Historical commercial demand and disclosure behavior are now directly evidenced. ChainPeak supplies a real route to test current bookability, but the supplier must not be called Beyond's manager.
风险/下一步：Crypto/project promotional proximity; paid relationships exist and must be disclosed campaign by campaign; no creator-authorized direct business route.；Through the single ChainPeak supplier inquiry, ask whether Beyond is directly bookable, relationship type, exclusivity, current rate, format, audience, disclosure practice and eig…</x:v>
      </x:c>
      <x:c r="P41" s="24" t="str">
        <x:v>CN-X4-001</x:v>
      </x:c>
    </x:row>
    <x:row r="42" ht="72" customHeight="1">
      <x:c r="A42" s="24" t="str">
        <x:v>X</x:v>
      </x:c>
      <x:c r="B42" s="24" t="str">
        <x:v>美股OK哥</x:v>
      </x:c>
      <x:c r="C42" s="24" t="str">
        <x:v>https://x.com/artinmemes</x:v>
      </x:c>
      <x:c r="D42" s="24" t="n">
        <x:v>85688</x:v>
      </x:c>
      <x:c r="E42" s="24" t="str">
        <x:v>中文</x:v>
      </x:c>
      <x:c r="F42" s="24" t="str">
        <x:v>美国（内容市场；受众地域为推断）; 香港/大中华; 全球/跨境</x:v>
      </x:c>
      <x:c r="G42" s="24" t="str">
        <x:v>美股/市场评论；Retail investing; Trading/options</x:v>
      </x:c>
      <x:c r="H42" s="24" t="str">
        <x:v>独立 KOL / creator</x:v>
      </x:c>
      <x:c r="I42" s="24" t="str">
        <x:v>P1</x:v>
      </x:c>
      <x:c r="J42" s="24" t="str">
        <x:v>Approve</x:v>
      </x:c>
      <x:c r="K42" s="24" t="str">
        <x:v>C0｜Needs creator-authorized brand route</x:v>
      </x:c>
      <x:c r="L42" s="24" t="str"/>
      <x:c r="M42" s="24" t="str">
        <x:v>No creator-authorized brand contact observed. Interactive Brokers affiliate and Telegram community links are not brand-business contacts.</x:v>
      </x:c>
      <x:c r="N42" s="24" t="str">
        <x:v>Seek a permission-based referral through a past sponsor only for a matching brief; do not treat aff…</x:v>
      </x:c>
      <x:c r="O42" s="24" t="str">
        <x:v>定位：Chinese US-equity direct bridge creator
依据：直接受众匹配; 专业权威与内容可信度; root visibility; 历史 sponsor/商业证据；内容 19/20；90天活跃 Yes；E3；核验 2026-09-06
判断：Historical sponsor demand is verified, but no owned contact or booking route is public.
风险/下一步：IBKR affiliate plus broker/exchange sponsor conflicts; community group is not a business route; campaign category conflicts and disclosure must be checked.；Seek a permission-based referral through a past sponsor only for a matching brief; do not treat affiliate URLs or the Telegram group as business contacts.</x:v>
      </x:c>
      <x:c r="P42" s="24" t="str">
        <x:v>CN-X4-010</x:v>
      </x:c>
    </x:row>
    <x:row r="43" ht="72" customHeight="1">
      <x:c r="A43" s="24" t="str">
        <x:v>X</x:v>
      </x:c>
      <x:c r="B43" s="24" t="str">
        <x:v>投机实验室</x:v>
      </x:c>
      <x:c r="C43" s="24" t="str">
        <x:v>https://x.com/LabSpeculation</x:v>
      </x:c>
      <x:c r="D43" s="24" t="n">
        <x:v>81319</x:v>
      </x:c>
      <x:c r="E43" s="24" t="str">
        <x:v>中文</x:v>
      </x:c>
      <x:c r="F43" s="24" t="str">
        <x:v>中国内地; 香港/大中华; 美国（内容市场；受众地域为推断）; 全球/跨境</x:v>
      </x:c>
      <x:c r="G43" s="24" t="str">
        <x:v>Trading/options；Retail investing; 美股/市场评论</x:v>
      </x:c>
      <x:c r="H43" s="24" t="str">
        <x:v>独立 KOL / creator</x:v>
      </x:c>
      <x:c r="I43" s="24" t="str">
        <x:v>P1</x:v>
      </x:c>
      <x:c r="J43" s="24" t="str">
        <x:v>Approve</x:v>
      </x:c>
      <x:c r="K43" s="24" t="str">
        <x:v>C0｜Needs creator-authorized brand route</x:v>
      </x:c>
      <x:c r="L43" s="24" t="str"/>
      <x:c r="M43" s="24" t="str">
        <x:v>Official X profile links the owned YouTube channel; no labelled business contact observed.</x:v>
      </x:c>
      <x:c r="N43" s="24" t="str">
        <x:v>Retain in validated pool and inspect future official YouTube descriptions only when a relevant brie…</x:v>
      </x:c>
      <x:c r="O43" s="24" t="str">
        <x:v>定位：Chinese trading and market-story media creator
依据：直接受众匹配; 专业权威与内容可信度; root visibility; 历史 sponsor/商业证据；内容 16/20；90天活跃 Yes；E2；核验 2026-09-06
判断：The owned YouTube link verifies identity continuity, not commercial availability.
风险/下一步：Strong single-theme/company enthusiasm can narrow campaign fit; sponsorship acceptance unknown.；Retain in validated pool and inspect future official YouTube descriptions only when a relevant brief or new upload makes that check decision-useful.</x:v>
      </x:c>
      <x:c r="P43" s="24" t="str">
        <x:v>CN-X4-009</x:v>
      </x:c>
    </x:row>
    <x:row r="44" ht="72" customHeight="1">
      <x:c r="A44" s="24" t="str">
        <x:v>X</x:v>
      </x:c>
      <x:c r="B44" s="24" t="str">
        <x:v>Balder / Balder's Fable Picks</x:v>
      </x:c>
      <x:c r="C44" s="24" t="str">
        <x:v>https://x.com/Balder13946731</x:v>
      </x:c>
      <x:c r="D44" s="24" t="n">
        <x:v>35118</x:v>
      </x:c>
      <x:c r="E44" s="24" t="str">
        <x:v>中文; 英文</x:v>
      </x:c>
      <x:c r="F44" s="24" t="str">
        <x:v>美国; 香港/大中华; 全球/跨境</x:v>
      </x:c>
      <x:c r="G44" s="24" t="str">
        <x:v>美股/市场评论；Trading/options; Fintech/AI Finance</x:v>
      </x:c>
      <x:c r="H44" s="24" t="str">
        <x:v>独立 KOL / creator</x:v>
      </x:c>
      <x:c r="I44" s="24" t="str">
        <x:v>P1</x:v>
      </x:c>
      <x:c r="J44" s="24" t="str">
        <x:v>Approve</x:v>
      </x:c>
      <x:c r="K44" s="24" t="str">
        <x:v>C0｜Needs creator-authorized brand route</x:v>
      </x:c>
      <x:c r="L44" s="24" t="str"/>
      <x:c r="M44" s="24" t="str">
        <x:v>Official site, Substack and Discord are consumer/community routes; no creator-brand route observed.</x:v>
      </x:c>
      <x:c r="N44" s="24" t="str">
        <x:v>Hold until a labelled partnership route or sponsor-side permission referral is found.</x:v>
      </x:c>
      <x:c r="O44" s="24" t="str">
        <x:v>定位：Chinese US-equity research creator + creator-led paid research
依据：直接受众匹配; 专业权威与内容可信度; root visibility; root interaction; 历史 sponsor/商业证据；内容 14/20；90天活跃 Yes；E3；核验 2026-09-06
判断：Content approval stands; owned subscriptions confirm an operating creator business but not third-party brand acceptance.
风险/下一步：Paid research/subscription product and portfolio positions create conflicts; consumer support email/DM is not a sponsorship route.；Hold until a labelled partnership route or sponsor-side permission referral is found.</x:v>
      </x:c>
      <x:c r="P44" s="24" t="str">
        <x:v>CN-X4-007</x:v>
      </x:c>
    </x:row>
    <x:row r="45" ht="72" customHeight="1">
      <x:c r="A45" s="24" t="str">
        <x:v>X</x:v>
      </x:c>
      <x:c r="B45" s="24" t="str">
        <x:v>HighFreedom</x:v>
      </x:c>
      <x:c r="C45" s="24" t="str">
        <x:v>https://x.com/highFree2028</x:v>
      </x:c>
      <x:c r="D45" s="24" t="n">
        <x:v>7038</x:v>
      </x:c>
      <x:c r="E45" s="24" t="str">
        <x:v>中文; 英文</x:v>
      </x:c>
      <x:c r="F45" s="24" t="str">
        <x:v>香港/大中华; 中国内地; 美国（内容市场；受众地域为推断）</x:v>
      </x:c>
      <x:c r="G45" s="24" t="str">
        <x:v>美股/市场评论；Fintech/AI Finance</x:v>
      </x:c>
      <x:c r="H45" s="24" t="str">
        <x:v>独立 KOL / creator</x:v>
      </x:c>
      <x:c r="I45" s="24" t="str">
        <x:v>P1</x:v>
      </x:c>
      <x:c r="J45" s="24" t="str">
        <x:v>Approve</x:v>
      </x:c>
      <x:c r="K45" s="24" t="str">
        <x:v>C0｜Needs creator-authorized route</x:v>
      </x:c>
      <x:c r="L45" s="24" t="str"/>
      <x:c r="M45" s="24" t="str">
        <x:v>No creator-authorized brand route observed.</x:v>
      </x:c>
      <x:c r="N45" s="24" t="str">
        <x:v>Retain as expert/authority bridge and seek a permission-based editorial or event referral only when…</x:v>
      </x:c>
      <x:c r="O45" s="24" t="str">
        <x:v>定位：Low-frequency Chinese equity/AI-industry expert
依据：直接受众匹配; 专业权威与内容可信度; root visibility; 历史 sponsor/商业证据；内容 5/6；90天活跃 Yes；E2；核验 2026-09-06
判断：Professional-authority value remains, but no commercial route emerged.
风险/下一步：Professional investment role creates potential employer/product conflicts; sponsorship acceptance is unknown.；Retain as expert/authority bridge and seek a permission-based editorial or event referral only when a relevant brief exists.</x:v>
      </x:c>
      <x:c r="P45" s="24" t="str">
        <x:v>CN-X4-003</x:v>
      </x:c>
    </x:row>
    <x:row r="46" ht="72" customHeight="1">
      <x:c r="A46" s="24" t="str">
        <x:v>X</x:v>
      </x:c>
      <x:c r="B46" s="24" t="str">
        <x:v>Yigol</x:v>
      </x:c>
      <x:c r="C46" s="24" t="str">
        <x:v>https://x.com/Btcxiaoyuan</x:v>
      </x:c>
      <x:c r="D46" s="24" t="n">
        <x:v>43692</x:v>
      </x:c>
      <x:c r="E46" s="24" t="str">
        <x:v>中文</x:v>
      </x:c>
      <x:c r="F46" s="24" t="str">
        <x:v>全球/跨境; 美国（内容市场；受众地域为推断）</x:v>
      </x:c>
      <x:c r="G46" s="24" t="str">
        <x:v>Crypto × Equity/新金融；美股/市场评论</x:v>
      </x:c>
      <x:c r="H46" s="24" t="str">
        <x:v>独立 KOL / creator</x:v>
      </x:c>
      <x:c r="I46" s="24" t="str">
        <x:v>P1</x:v>
      </x:c>
      <x:c r="J46" s="24" t="str">
        <x:v>Approve</x:v>
      </x:c>
      <x:c r="K46" s="24" t="str">
        <x:v>C0｜Needs creator-authorized route</x:v>
      </x:c>
      <x:c r="L46" s="24" t="str"/>
      <x:c r="M46" s="24" t="str">
        <x:v>No creator-authorized brand route observed in the current profile, latest posts or one-year targeted search.</x:v>
      </x:c>
      <x:c r="N46" s="24" t="str">
        <x:v>Hold in validated pool until an owned business route, sponsor-side referral or permission-based sup…</x:v>
      </x:c>
      <x:c r="O46" s="24" t="str">
        <x:v>定位：Chinese cross-asset macro creator
依据：直接受众匹配; 专业权威与内容可信度; root visibility; 历史 sponsor/商业证据；内容 18/20；90天活跃 Yes；E2；核验 2026-09-06
判断：Content approval stands, but the route audit did not produce an executable brand contact.
风险/下一步：Profile says the creator never initiates DMs; this does not prove inbound DMs are accepted. Do not infer a business route.；Hold in validated pool until an owned business route, sponsor-side referral or permission-based supplier route is found.</x:v>
      </x:c>
      <x:c r="P46" s="24" t="str">
        <x:v>CN-X4-002</x:v>
      </x:c>
    </x:row>
    <x:row r="47" ht="72" customHeight="1">
      <x:c r="A47" s="24" t="str">
        <x:v>Bilibili</x:v>
      </x:c>
      <x:c r="B47" s="24" t="str">
        <x:v>李砍柴</x:v>
      </x:c>
      <x:c r="C47" s="24" t="str">
        <x:v>https://space.bilibili.com/1858208733</x:v>
      </x:c>
      <x:c r="D47" s="24" t="n">
        <x:v>97782</x:v>
      </x:c>
      <x:c r="E47" s="24" t="str">
        <x:v>中文</x:v>
      </x:c>
      <x:c r="F47" s="24" t="str">
        <x:v>中国内地; 香港/大中华; 全球/跨境</x:v>
      </x:c>
      <x:c r="G47" s="24" t="str">
        <x:v>Fintech/AI Finance；Retail investing; 商业/消费经济（探索）</x:v>
      </x:c>
      <x:c r="H47" s="24" t="str">
        <x:v>独立 KOL / creator</x:v>
      </x:c>
      <x:c r="I47" s="24" t="str">
        <x:v>P2</x:v>
      </x:c>
      <x:c r="J47" s="24" t="str">
        <x:v>Approve</x:v>
      </x:c>
      <x:c r="K47" s="24" t="str">
        <x:v>C2｜Verified public route; use the existing 砍柴书院 supplier inquiry to avoid duplicate outreach</x:v>
      </x:c>
      <x:c r="L47" s="24" t="str"/>
      <x:c r="M47" s="24" t="str">
        <x:v>WeChat likanchai1985 — published as 合 on the current Bilibili profile</x:v>
      </x:c>
      <x:c r="N47" s="24" t="str">
        <x:v>Ask for 李砍柴's creator formats, audience, rates and availability inside the already prepared 砍柴书院 ro…</x:v>
      </x:c>
      <x:c r="O47" s="24" t="str">
        <x:v>定位：Direct bridge creator
依据：direct audience/content fit; public business route; supplier-founder relationship；内容 7/20；90天活跃 Yes；E3；核验 2026-09-06
判断：The current channel is highly active, has strong median reach and a public creator/founder route. Approval is deliberately lane-bounded and does not turn 砍柴书院 into his external manager.
风险/下一步：Only a minority of recent posts are directly about investing/markets. Suitable for consumer finance, fintech awareness and business storytelling, not trading o…；Ask for 李砍柴's creator formats, audience, rates and availability inside the already prepared 砍柴书院 roster inquiry; do not send a duplicate message.</x:v>
      </x:c>
      <x:c r="P47" s="24" t="str">
        <x:v>CN-LC-004</x:v>
      </x:c>
    </x:row>
    <x:row r="48" ht="72" customHeight="1">
      <x:c r="A48" s="24" t="str">
        <x:v>Bilibili; Douyin; WeChat; Toutiao</x:v>
      </x:c>
      <x:c r="B48" s="24" t="str">
        <x:v>毒sir财经</x:v>
      </x:c>
      <x:c r="C48" s="24" t="str">
        <x:v>https://space.bilibili.com/95717110</x:v>
      </x:c>
      <x:c r="D48" s="24" t="n">
        <x:v>922</x:v>
      </x:c>
      <x:c r="E48" s="24" t="str">
        <x:v>中文</x:v>
      </x:c>
      <x:c r="F48" s="24" t="str">
        <x:v>中国内地; 香港/大中华; 全球/跨境</x:v>
      </x:c>
      <x:c r="G48" s="24" t="str">
        <x:v>Retail investing；Fintech/AI Finance; 商业/消费经济</x:v>
      </x:c>
      <x:c r="H48" s="24" t="str">
        <x:v>Creator-led media / Newsletter / Podcast</x:v>
      </x:c>
      <x:c r="I48" s="24" t="str">
        <x:v>P2</x:v>
      </x:c>
      <x:c r="J48" s="24" t="str">
        <x:v>Approve</x:v>
      </x:c>
      <x:c r="K48" s="24" t="str">
        <x:v>C1｜Verification only — creator-level buyability unresolved</x:v>
      </x:c>
      <x:c r="L48" s="24" t="str"/>
      <x:c r="M48" s="24" t="str">
        <x:v>Covered by the existing 砍柴书院 founder-level verification route; individual booking authority unconfirmed</x:v>
      </x:c>
      <x:c r="N48" s="24" t="str">
        <x:v>Keep inside the prepared 砍柴书院 inquiry: obtain the current primary profile, audience, individual boo…</x:v>
      </x:c>
      <x:c r="O48" s="24" t="str">
        <x:v>定位：Direct bridge creator + creator-led media IP
依据：direct business/economy audience fit; current attributable content; supplier-operated IP evidence；内容 11/20；90天活跃 Yes；E2；核验 2026-09-06
判断：The combination of current attributable content and fresh 2026 institution-operation evidence is sufficient for a bounded creator/media approval. It is not sufficient to claim management, exclusivity or individual campaign availability.
风险/下一步：Recent content is business/consumer-economy storytelling rather than securities research; primary-platform audience and disclosure controls require supplier co…；Keep inside the prepared 砍柴书院 inquiry: obtain the current primary profile, audience, individual booking authority, brand formats, rates, disclosure controls and availability.</x:v>
      </x:c>
      <x:c r="P48" s="24" t="str">
        <x:v>CN-LC-003</x:v>
      </x:c>
    </x:row>
    <x:row r="49" ht="72" customHeight="1">
      <x:c r="A49" s="24" t="str">
        <x:v>Douyin; WeChat Channels; Xiaohongshu; Weibo; Xueqiu</x:v>
      </x:c>
      <x:c r="B49" s="24" t="str">
        <x:v>子皮商论</x:v>
      </x:c>
      <x:c r="C49" s="24" t="str">
        <x:v>https://www.relangdata.cn/douyin/person_detail_103301177383.html</x:v>
      </x:c>
      <x:c r="D49" s="24" t="n">
        <x:v>2472000</x:v>
      </x:c>
      <x:c r="E49" s="24" t="str">
        <x:v>中文</x:v>
      </x:c>
      <x:c r="F49" s="24" t="str">
        <x:v>中国内地; 香港/大中华; 全球/跨境</x:v>
      </x:c>
      <x:c r="G49" s="24" t="str">
        <x:v>Retail investing；美股/市场评论; 创投/商业</x:v>
      </x:c>
      <x:c r="H49" s="24" t="str">
        <x:v>独立 KOL / creator</x:v>
      </x:c>
      <x:c r="I49" s="24" t="str">
        <x:v>P2</x:v>
      </x:c>
      <x:c r="J49" s="24" t="str">
        <x:v>Approve</x:v>
      </x:c>
      <x:c r="K49" s="24" t="str">
        <x:v>C1｜Verification only — native profile URL and supplier booking authority require reply</x:v>
      </x:c>
      <x:c r="L49" s="24" t="str"/>
      <x:c r="M49" s="24" t="str">
        <x:v>Covered by the existing 奇光MCN verification request; the dashboard telephone is not accepted as creator-authorized contact</x:v>
      </x:c>
      <x:c r="N49" s="24" t="str">
        <x:v>Keep inside the prepared 奇光 verification request: request the native profile URL, relationship labe…</x:v>
      </x:c>
      <x:c r="O49" s="24" t="str">
        <x:v>定位：Direct bridge creator
依据：direct audience fit; professional/investor authority; current finance content; supplier roster lead；内容 3/3；90天活跃 Yes — current dashboard reports three works in the latest 30 days；E2；核验 2026-09-06
判断：Current exact Douyin identity, recent activity, large finance-investing audience and current market/technology content overturn the stale-Bilibili-only Question. Evidence remains E2 because the current activity layer is third-party and the full latest-ten nat…
风险/下一步：Self-owned paid education/storefront and historical performance claims are conflict/claims-review tags. No severe hard-reject trigger was observed in the limit…；Keep inside the prepared 奇光 verification request: request the native profile URL, relationship label, latest-ten sample, brand formats, rates, conflicts and availability. Do not u…</x:v>
      </x:c>
      <x:c r="P49" s="24" t="str">
        <x:v>CN-LC-002</x:v>
      </x:c>
    </x:row>
    <x:row r="50" ht="72" customHeight="1">
      <x:c r="A50" s="24" t="str">
        <x:v>X</x:v>
      </x:c>
      <x:c r="B50" s="24" t="str">
        <x:v>大老师Bugsbunny (@octopusycc)</x:v>
      </x:c>
      <x:c r="C50" s="24" t="str">
        <x:v>https://x.com/octopusycc</x:v>
      </x:c>
      <x:c r="D50" s="24" t="n">
        <x:v>46770</x:v>
      </x:c>
      <x:c r="E50" s="24" t="str">
        <x:v>中文</x:v>
      </x:c>
      <x:c r="F50" s="24" t="str">
        <x:v>香港/大中华; 全球/跨境; 美国（内容市场）; 新加坡（自述所在地）</x:v>
      </x:c>
      <x:c r="G50" s="24" t="str">
        <x:v>Trading/options；美股/市场评论; Crypto × Equity/新金融</x:v>
      </x:c>
      <x:c r="H50" s="24" t="str">
        <x:v>独立 KOL / creator</x:v>
      </x:c>
      <x:c r="I50" s="24" t="str">
        <x:v>P2</x:v>
      </x:c>
      <x:c r="J50" s="24" t="str">
        <x:v>Approve</x:v>
      </x:c>
      <x:c r="K50" s="24" t="str">
        <x:v>C1｜Brand-business acceptance observed; executable endpoint unverified</x:v>
      </x:c>
      <x:c r="L50" s="24" t="str"/>
      <x:c r="M50" s="24" t="str">
        <x:v>Repeated disclosed Coinbase/BiyaPay/Deribit sponsorship or cooperation is observed, but no creator-authorized business email, form or manager is public.</x:v>
      </x:c>
      <x:c r="N50" s="24" t="str">
        <x:v>Find or permission-verify the creator's brand booking endpoint; if authorized, ask for formats, rat…</x:v>
      </x:c>
      <x:c r="O50" s="24" t="str">
        <x:v>定位：Direct bridge creator / livestream market commentator
依据：direct audience/content fit; historical sponsor evidence; specialized options/GEX authority；内容 5/20；90天活跃 Yes；E2；核验 2026-09-06
判断：The account is currently active and repeatedly publishes original US-equity, options-flow, GEX, earnings and cross-market analysis. Sponsor precedent is directly disclosed. Approval is conditional because the latest-20 contains terse posts and no usable booki…
风险/下一步：Trading calls and outcome language require claim controls; broker/crypto-platform conflicts; promoted StableStock after the SFC alert. No Hong Kong-facing leve…；Find or permission-verify the creator's brand booking endpoint; if authorized, ask for formats, rates, audience, conflict list and disclosure/claims controls.</x:v>
      </x:c>
      <x:c r="P50" s="24" t="str">
        <x:v>CN-SS-002</x:v>
      </x:c>
    </x:row>
    <x:row r="51" ht="72" customHeight="1">
      <x:c r="A51" s="24" t="str">
        <x:v>X</x:v>
      </x:c>
      <x:c r="B51" s="24" t="str">
        <x:v>徐冲浪 (@cyrilxuq)</x:v>
      </x:c>
      <x:c r="C51" s="24" t="str">
        <x:v>https://x.com/cyrilxuq</x:v>
      </x:c>
      <x:c r="D51" s="24" t="n">
        <x:v>140084</x:v>
      </x:c>
      <x:c r="E51" s="24" t="str">
        <x:v>中文</x:v>
      </x:c>
      <x:c r="F51" s="24" t="str">
        <x:v>中国内地; 香港/大中华; 全球/跨境; 美国（内容市场）</x:v>
      </x:c>
      <x:c r="G51" s="24" t="str">
        <x:v>美股/市场评论；Trading/options; Crypto × Equity/新金融</x:v>
      </x:c>
      <x:c r="H51" s="24" t="str">
        <x:v>独立 KOL / creator</x:v>
      </x:c>
      <x:c r="I51" s="24" t="str">
        <x:v>P2</x:v>
      </x:c>
      <x:c r="J51" s="24" t="str">
        <x:v>Approve</x:v>
      </x:c>
      <x:c r="K51" s="24" t="str">
        <x:v>C1｜Brand-business acceptance observed; executable endpoint unverified</x:v>
      </x:c>
      <x:c r="L51" s="24" t="str"/>
      <x:c r="M51" s="24" t="str">
        <x:v>Creator states official sponsorship/advertising is accepted by the 小隐寺 community, but the post does not publish a purpose-matched email, form or named booking contact.</x:v>
      </x:c>
      <x:c r="N51" s="24" t="str">
        <x:v>Verify a creator-authorized sponsorship endpoint for 徐冲浪/小隐寺 and request disclosure, category-confl…</x:v>
      </x:c>
      <x:c r="O51" s="24" t="str">
        <x:v>定位：Direct bridge creator / creator-led paid investment community
依据：direct audience/content fit; professional/content authority; historical sponsor/conversion evidence；内容 7/20；90天活跃 Yes；E3；核验 2026-09-06
判断：Recent original content shows a repeatable Chinese US-equity/cross-asset viewpoint and a first-party conversion case. This value survives independently of StableStock. Approval is conditional and does not imply low risk or an executable booking route.
风险/下一步：Founder of a paid investing community; broker/referral link; combative/profane tone; promoted StableStock after the SFC alert. Exclude Hong Kong-facing StableS…；Verify a creator-authorized sponsorship endpoint for 徐冲浪/小隐寺 and request disclosure, category-conflict and claims controls only after outreach is authorized.</x:v>
      </x:c>
      <x:c r="P51" s="24" t="str">
        <x:v>CN-SS-001</x:v>
      </x:c>
    </x:row>
    <x:row r="52" ht="72" customHeight="1">
      <x:c r="A52" s="24" t="str">
        <x:v>X</x:v>
      </x:c>
      <x:c r="B52" s="24" t="str">
        <x:v>硅谷居士 (@SVScholar)</x:v>
      </x:c>
      <x:c r="C52" s="24" t="str">
        <x:v>https://x.com/SVScholar</x:v>
      </x:c>
      <x:c r="D52" s="24" t="n">
        <x:v>95745</x:v>
      </x:c>
      <x:c r="E52" s="24" t="str">
        <x:v>中文</x:v>
      </x:c>
      <x:c r="F52" s="24" t="str">
        <x:v>美国; 香港/大中华; 全球/跨境</x:v>
      </x:c>
      <x:c r="G52" s="24" t="str">
        <x:v>Retail investing；美股/市场评论; Fintech/AI Finance</x:v>
      </x:c>
      <x:c r="H52" s="24" t="str">
        <x:v>独立 KOL / creator</x:v>
      </x:c>
      <x:c r="I52" s="24" t="str">
        <x:v>P1 business-route verification</x:v>
      </x:c>
      <x:c r="J52" s="24" t="str">
        <x:v>Approve</x:v>
      </x:c>
      <x:c r="K52" s="24" t="str">
        <x:v>C0｜Brand business route unverified</x:v>
      </x:c>
      <x:c r="L52" s="24" t="str"/>
      <x:c r="M52" s="24" t="str">
        <x:v>No verified brand-business contact. Substack, book sales and paid X subscription are audience products, not brand contacts.</x:v>
      </x:c>
      <x:c r="N52" s="24" t="str">
        <x:v>Locate a creator-authorized brand-business route and verify sponsor/disclosure history before addin…</x:v>
      </x:c>
      <x:c r="O52" s="24" t="str">
        <x:v>定位：Direct bridge creator
依据：direct audience fit; professional/content authority；内容 84/329；90天活跃 Yes；E2；核验 2026-09-06
判断：The account directly reaches Chinese-speaking US-equity investors with original ETF, index and semiconductor education. Lack of a root edge does not block approval under Target Hypothesis v1, but no executable brand route is verified.
风险/下一步：Self-reported credentials and 20% annualized return are not independently verified; direct buy/add language and paid subscriptions require campaign-level discl…；Locate a creator-authorized brand-business route and verify sponsor/disclosure history before adding to Outreach Ready.</x:v>
      </x:c>
      <x:c r="P52" s="24" t="str">
        <x:v>CN-X-004</x:v>
      </x:c>
    </x:row>
    <x:row r="53" ht="72" customHeight="1">
      <x:c r="A53" s="24" t="str">
        <x:v>X</x:v>
      </x:c>
      <x:c r="B53" s="24" t="str">
        <x:v>问月 wmoon / StableStock (@_wmoon)</x:v>
      </x:c>
      <x:c r="C53" s="24" t="str">
        <x:v>https://x.com/_wmoon</x:v>
      </x:c>
      <x:c r="D53" s="24" t="n">
        <x:v>10948</x:v>
      </x:c>
      <x:c r="E53" s="24" t="str">
        <x:v>中文</x:v>
      </x:c>
      <x:c r="F53" s="24" t="str">
        <x:v>美国; 香港/大中华; 全球/跨境</x:v>
      </x:c>
      <x:c r="G53" s="24" t="str">
        <x:v>Fintech/AI Finance；美股/市场评论; Crypto × Equity/新金融</x:v>
      </x:c>
      <x:c r="H53" s="24" t="str">
        <x:v>独立 KOL / creator</x:v>
      </x:c>
      <x:c r="I53" s="24" t="str">
        <x:v>P0 creator-route verification / sponsor-adjacency source</x:v>
      </x:c>
      <x:c r="J53" s="24" t="str">
        <x:v>Approve</x:v>
      </x:c>
      <x:c r="K53" s="24" t="str">
        <x:v>C1｜Approved creator/founder expert; creator brand-business route not observed in audited public sources</x:v>
      </x:c>
      <x:c r="L53" s="24" t="str"/>
      <x:c r="M53" s="24" t="str">
        <x:v>No creator booking route was observed. The personal Telegram is a community channel, StableStock DM invitations concern products/APIs, and the StableStock-domain email is explicitly for recruitment.</x:v>
      </x:c>
      <x:c r="N53" s="24" t="str">
        <x:v>Retain as a high-value sponsor-adjacency observation source and conditional creator. In a later app…</x:v>
      </x:c>
      <x:c r="O53" s="24" t="str">
        <x:v>定位：Conditional direct bridge creator + fintech founder/operator expert + sponsor-side creator-buying proxy
依据：direct audience/content fit; root visibility; observed interaction bridge; first-party sponsor-side creator-buying evidence；内容 12/20；90天活跃 Yes；E3；核验 2026-09-06
判断：The X audit and official pages confirm substantive creator/founder value and unusual first-party knowledge of how StableStock buys creator media. They do not expose an authorized route to buy wmoon, nor do they prove agency, management or supplier services. T…
风险/下一步：Owned-company interest in StableStock and tokenized/global securities creates broker/RWA category conflicts. Any creator campaign requires separation from prod…；Retain as a high-value sponsor-adjacency observation source and conditional creator. In a later approved discovery wave, trace only publicly named StableStock creator placements. …</x:v>
      </x:c>
      <x:c r="P53" s="24" t="str">
        <x:v>CN-X3-006</x:v>
      </x:c>
    </x:row>
    <x:row r="54" ht="72" customHeight="1">
      <x:c r="A54" s="24" t="str">
        <x:v>X</x:v>
      </x:c>
      <x:c r="B54" s="24" t="str">
        <x:v>Citrini Research (@citrini)</x:v>
      </x:c>
      <x:c r="C54" s="24" t="str">
        <x:v>https://x.com/citrini</x:v>
      </x:c>
      <x:c r="D54" s="24" t="n">
        <x:v>288177</x:v>
      </x:c>
      <x:c r="E54" s="24" t="str">
        <x:v>English</x:v>
      </x:c>
      <x:c r="F54" s="24" t="str">
        <x:v>美国; 全球/跨境</x:v>
      </x:c>
      <x:c r="G54" s="24" t="str">
        <x:v>美股/市场评论；Fintech/AI Finance; Crypto × Equity/新金融</x:v>
      </x:c>
      <x:c r="H54" s="24" t="str">
        <x:v>Creator-led media / Newsletter / Podcast</x:v>
      </x:c>
      <x:c r="I54" s="24" t="str">
        <x:v>P1 partnership-route verification</x:v>
      </x:c>
      <x:c r="J54" s="24" t="str">
        <x:v>Approve</x:v>
      </x:c>
      <x:c r="K54" s="24" t="str">
        <x:v>C2｜Brand-business route unverified or purpose-mismatched</x:v>
      </x:c>
      <x:c r="L54" s="24" t="str"/>
      <x:c r="M54" s="24" t="str">
        <x:v>sales@citrini.com for institutional research sales; citrini@substack.com for retail/support. Neither route is explicitly presented as brand partnerships.</x:v>
      </x:c>
      <x:c r="N54" s="24" t="str">
        <x:v>Verify whether institutional sales will route editorial partnerships, speaking or sponsored researc…</x:v>
      </x:c>
      <x:c r="O54" s="24" t="str">
        <x:v>定位：Research newsletter/media + expert bridge
依据：direct audience/content fit; root visibility; professional/content authority；内容 4/20；90天活跃 Yes；E3；核验 2026-09-06
判断：Citrini's official institutional sales route sells research, while 26trades@citrini.com is explicitly used for editorial theme pitches. Neither source says it accepts brand sponsorships, creator integrations or paid media placements.
风险/下一步：Latest X feed is reply-heavy and only about 4/20 posts are directly finance-labelled, so the low-frequency publication/expert rule is used. Paid research and a…；Verify whether institutional sales will route editorial partnerships, speaking or sponsored research; otherwise retain for expert/media shortlists without calling it Outreach Read…</x:v>
      </x:c>
      <x:c r="P54" s="24" t="str">
        <x:v>CN-X2-005</x:v>
      </x:c>
    </x:row>
    <x:row r="55" ht="72" customHeight="1">
      <x:c r="A55" s="24" t="str">
        <x:v>X</x:v>
      </x:c>
      <x:c r="B55" s="24" t="str">
        <x:v>qinbafrank (@qinbafrank)</x:v>
      </x:c>
      <x:c r="C55" s="24" t="str">
        <x:v>https://x.com/qinbafrank</x:v>
      </x:c>
      <x:c r="D55" s="24" t="n">
        <x:v>157210</x:v>
      </x:c>
      <x:c r="E55" s="24" t="str">
        <x:v>中文</x:v>
      </x:c>
      <x:c r="F55" s="24" t="str">
        <x:v>香港/大中华; 全球/跨境; 美国（内容市场；受众地域为推断）</x:v>
      </x:c>
      <x:c r="G55" s="24" t="str">
        <x:v>美股/市场评论；Crypto × Equity/新金融</x:v>
      </x:c>
      <x:c r="H55" s="24" t="str">
        <x:v>独立 KOL / creator</x:v>
      </x:c>
      <x:c r="I55" s="24" t="str">
        <x:v>P1 research</x:v>
      </x:c>
      <x:c r="J55" s="24" t="str">
        <x:v>Approve</x:v>
      </x:c>
      <x:c r="K55" s="24" t="str">
        <x:v>C1｜Verified media-collaborator referral route; representation unverified</x:v>
      </x:c>
      <x:c r="L55" s="24" t="str"/>
      <x:c r="M55" s="24" t="str">
        <x:v>Permission-based referral inquiry via 168X: mrz@168x.club (not Frank's direct contact)</x:v>
      </x:c>
      <x:c r="N55" s="24" t="str">
        <x:v>不直接联系 Frank。获得发送授权后，先向 168X 询问其媒体合作库存，并请求是否可经许可转介 Frank；若不能转介，继续保留为 validated creator 而非 Outreach R…</x:v>
      </x:c>
      <x:c r="O55" s="24" t="str">
        <x:v>定位：Direct bridge creator
依据：direct audience fit; historical sponsor/event adjacency; professional authority/content credibility; root visibility；内容 295/406；90天活跃 Yes；E2；核验 2026-09-05T13:35:48.034Z
判断：Apify 实际取得 2026-07-01 至 09-05 的 406 条帖子：295 条命中金融/市场关键词，406/406 为非回复、非原生转推表达，近期互动中位数 114；89 条明确标注赞助，证明持续商业执行。本人仍无公开商务入口，但 168X 的重复访谈与公开合作邮箱形成可执行的许可转介询问路径。
风险/下一步：交易平台及 crypto 项目合作密度较高；89/406 为已观察到的明确赞助披露下限，投放前必须确认当前排他、持仓、频控和品类冲突。Actor 未回溯到完整 90 天边界，数量仅代表 7 月 1 日至 9 月 5 日。；不直接联系 Frank。获得发送授权后，先向 168X 询问其媒体合作库存，并请求是否可经许可转介 Frank；若不能转介，继续保留为 validated creator 而非 Outreach Ready。</x:v>
      </x:c>
      <x:c r="P55" s="24" t="str">
        <x:v>CRT-016</x:v>
      </x:c>
    </x:row>
    <x:row r="56" ht="72" customHeight="1">
      <x:c r="A56" s="24" t="str">
        <x:v>X</x:v>
      </x:c>
      <x:c r="B56" s="24" t="str">
        <x:v>TraderS / 缺德道人 (@TraderS18)</x:v>
      </x:c>
      <x:c r="C56" s="24" t="str">
        <x:v>https://x.com/TraderS18</x:v>
      </x:c>
      <x:c r="D56" s="24" t="n">
        <x:v>66751</x:v>
      </x:c>
      <x:c r="E56" s="24" t="str">
        <x:v>中文</x:v>
      </x:c>
      <x:c r="F56" s="24" t="str">
        <x:v>美国; 中国内地; 全球/跨境</x:v>
      </x:c>
      <x:c r="G56" s="24" t="str">
        <x:v>美股/市场评论；Trading/options; Crypto × Equity/新金融</x:v>
      </x:c>
      <x:c r="H56" s="24" t="str">
        <x:v>独立 KOL / creator</x:v>
      </x:c>
      <x:c r="I56" s="24" t="str">
        <x:v>P1 conditional creator / conflict-controlled</x:v>
      </x:c>
      <x:c r="J56" s="24" t="str">
        <x:v>Approve</x:v>
      </x:c>
      <x:c r="K56" s="24" t="str">
        <x:v>C1｜Approved candidate; creator brand-business route not observed in audited public sources</x:v>
      </x:c>
      <x:c r="L56" s="24" t="str"/>
      <x:c r="M56" s="24" t="str">
        <x:v>No creator-authorized brand-business route was observed. The profile-linked Telegram is a public macro community, and the OKX/BITstocks links establish commercial adjacency rather than booking authority.</x:v>
      </x:c>
      <x:c r="N56" s="24" t="str">
        <x:v>Retain as a conditionally approved independent creator. Re-open commercial verification only when a…</x:v>
      </x:c>
      <x:c r="O56" s="24" t="str">
        <x:v>定位：Conditional direct bridge creator — Chinese macro, US equities and cross-asset trading
依据：direct audience/content fit; root visibility; professional/content authority; observed sponsor/platform adjacency；内容 16/20；90天活跃 Yes；E3；核验 2026-09-06
判断：RapidAPI reviewed the current profile, 18 current authored posts and the one-year authored business-keyword window; Twitter CLI and the public Telegram preview confirmed the only business-like surfaces. Sponsor evidence is real, but none is a purpose-matched …
风险/下一步：Specific trading views and repeated broker/exchange adjacency require disclosure, active-conflict and category-exclusivity checks. No severe undisclosed-promot…；Retain as a conditionally approved independent creator. Re-open commercial verification only when a creator-authorized brand route, representative or explicit collaboration invita…</x:v>
      </x:c>
      <x:c r="P56" s="24" t="str">
        <x:v>CN-X2-012</x:v>
      </x:c>
    </x:row>
    <x:row r="57" ht="72" customHeight="1">
      <x:c r="A57" s="24" t="str">
        <x:v>YouTube</x:v>
      </x:c>
      <x:c r="B57" s="24" t="str">
        <x:v>Aria Radnia (@QualityInvest5)</x:v>
      </x:c>
      <x:c r="C57" s="24" t="str">
        <x:v>https://www.youtube.com/channel/UCRvjq3X3HgBvz0ncgPvNYvA</x:v>
      </x:c>
      <x:c r="D57" s="24" t="n">
        <x:v>14100</x:v>
      </x:c>
      <x:c r="E57" s="24" t="str">
        <x:v>英文</x:v>
      </x:c>
      <x:c r="F57" s="24" t="str">
        <x:v>美国（受众地域按原证据置信度）</x:v>
      </x:c>
      <x:c r="G57" s="24" t="str">
        <x:v>美股/市场评论；Retail investing</x:v>
      </x:c>
      <x:c r="H57" s="24" t="str">
        <x:v>独立 KOL / creator</x:v>
      </x:c>
      <x:c r="I57" s="24" t="str">
        <x:v>—</x:v>
      </x:c>
      <x:c r="J57" s="24" t="str">
        <x:v>Approve</x:v>
      </x:c>
      <x:c r="K57" s="24" t="str">
        <x:v>C0｜Unverified / insufficient</x:v>
      </x:c>
      <x:c r="L57" s="24" t="str"/>
      <x:c r="M57" s="24" t="str">
        <x:v>Linktree/Patreon/自有社区不计 business contact；未发现公开商务邮箱。</x:v>
      </x:c>
      <x:c r="N57" s="24" t="str">
        <x:v>批准后核 affiliate/合作披露、business route、受众地域与 root interaction。</x:v>
      </x:c>
      <x:c r="O57" s="24" t="str">
        <x:v>定位：Direct bridge creator
依据：professional authority/content credibility; direct audience fit; historical sponsor/partner evidence；内容 20/20；90天活跃 Yes；E2；核验 2026-09-04T12:41:48+08:00
判断：20/20 直接股票研究、原创稳定、US-market 明确；评论有高质量 retail interaction signal。商务、地域与 root 证据仍缺。
风险/下一步：持仓与 referral 形成潜在利益冲突；需确认 affiliate disclosure。未见严重品牌安全事件。；批准后核 affiliate/合作披露、business route、受众地域与 root interaction。</x:v>
      </x:c>
      <x:c r="P57" s="24" t="str">
        <x:v>CRT-004</x:v>
      </x:c>
    </x:row>
    <x:row r="58" ht="72" customHeight="1">
      <x:c r="A58" s="24" t="str">
        <x:v>YouTube</x:v>
      </x:c>
      <x:c r="B58" s="24" t="str">
        <x:v>Everything Money</x:v>
      </x:c>
      <x:c r="C58" s="24" t="str">
        <x:v>https://www.youtube.com/channel/UChBVf9YnourrEDTsbbwJPRA</x:v>
      </x:c>
      <x:c r="D58" s="24" t="n">
        <x:v>410000</x:v>
      </x:c>
      <x:c r="E58" s="24" t="str">
        <x:v>英文</x:v>
      </x:c>
      <x:c r="F58" s="24" t="str">
        <x:v>美国（受众地域按原证据置信度）</x:v>
      </x:c>
      <x:c r="G58" s="24" t="str">
        <x:v>美股/市场评论；Retail investing</x:v>
      </x:c>
      <x:c r="H58" s="24" t="str">
        <x:v>独立 KOL / creator</x:v>
      </x:c>
      <x:c r="I58" s="24" t="str">
        <x:v>P2 route verification</x:v>
      </x:c>
      <x:c r="J58" s="24" t="str">
        <x:v>Approve</x:v>
      </x:c>
      <x:c r="K58" s="24" t="str">
        <x:v>C1｜Support/referral route only; brand partnership acceptance unverified</x:v>
      </x:c>
      <x:c r="L58" s="24" t="str"/>
      <x:c r="M58" s="24" t="str">
        <x:v>help@everythingmoney.com; https://store.everythingmoney.com/pages/contact</x:v>
      </x:c>
      <x:c r="N58" s="24" t="str">
        <x:v>保留为条件型 creator bridge，不进首批外联。若 brief 与价值投资教育高度匹配且不涉及 options/trading performance，再通过 help 邮箱请求转交商务负…</x:v>
      </x:c>
      <x:c r="O58" s="24" t="str">
        <x:v>定位：Direct bridge creator
依据：direct audience fit; recent original content performance; creator-led professional authority；内容 20/20；90天活跃 Yes；E3；核验 2026-09-06
判断：身份缺口已解决：Everything Money 是 Paul Gabrail 主导的 creator-led 投资教育与自有产品团队，不是 supplier/agency。既有 20/20 美股/投资相关长视频、近期约 410K 订阅和稳定观看支持 bridge 价值；未发现独立品牌商务入口，因此 Approve 仅表示进入验证池，不进入 Outreach Ready。
风险/下一步：高频 clickbait 标题；官方期权课用‘57/60 个月盈利’、consistent income、reliable cash flow 等未经独立审计的业绩营销销售课程。未观察到保证收益，但任何 trading/options campaign 应排除或先做强化合规审查；自有软件也形成 fintech 类别冲…；保留为条件型 creator bridge，不进首批外联。若 brief 与价值投资教育高度匹配且不涉及 options/trading performance，再通过 help 邮箱请求转交商务负责人，并先核 sponsorship policy、media kit、合规边界、品类冲突和报价。</x:v>
      </x:c>
      <x:c r="P58" s="24" t="str">
        <x:v>CRT-009</x:v>
      </x:c>
    </x:row>
    <x:row r="59" ht="72" customHeight="1">
      <x:c r="A59" s="24" t="str">
        <x:v>YouTube</x:v>
      </x:c>
      <x:c r="B59" s="24" t="str">
        <x:v>Joseph Carlson After Hours</x:v>
      </x:c>
      <x:c r="C59" s="24" t="str">
        <x:v>https://www.youtube.com/channel/UCfCT7SSFEWyG4th9ZmaGYqQ</x:v>
      </x:c>
      <x:c r="D59" s="24" t="n">
        <x:v>258000</x:v>
      </x:c>
      <x:c r="E59" s="24" t="str">
        <x:v>英文</x:v>
      </x:c>
      <x:c r="F59" s="24" t="str">
        <x:v>美国（受众地域按原证据置信度）</x:v>
      </x:c>
      <x:c r="G59" s="24" t="str">
        <x:v>美股/市场评论；Fintech/AI Finance</x:v>
      </x:c>
      <x:c r="H59" s="24" t="str">
        <x:v>独立 KOL / creator</x:v>
      </x:c>
      <x:c r="I59" s="24" t="str">
        <x:v>—</x:v>
      </x:c>
      <x:c r="J59" s="24" t="str">
        <x:v>Approve</x:v>
      </x:c>
      <x:c r="K59" s="24" t="str">
        <x:v>C0｜Unverified / insufficient</x:v>
      </x:c>
      <x:c r="L59" s="24" t="str"/>
      <x:c r="M59" s="24" t="str">
        <x:v>公开导流自建 Qualtrim；未发现独立 business contact。</x:v>
      </x:c>
      <x:c r="N59" s="24" t="str">
        <x:v>批准后核 business contact、Qualtrim disclosure、美国受众与 root visibility。</x:v>
      </x:c>
      <x:c r="O59" s="24" t="str">
        <x:v>定位：Direct bridge creator
依据：professional authority/content credibility; direct audience fit; historical sponsor/partner evidence；内容 20/20；90天活跃 Yes；E2；核验 2026-09-04T12:41:48+08:00
判断：20/20 直接相关、活跃、原创、US equity 方向和自然表现均通过；商务与 root 证据缺失。
风险/下一步：自有产品利益关联需披露；部分标题激烈，但分析型长视频稳定，未见严重付费证券推广。；批准后核 business contact、Qualtrim disclosure、美国受众与 root visibility。</x:v>
      </x:c>
      <x:c r="P59" s="24" t="str">
        <x:v>CRT-003</x:v>
      </x:c>
    </x:row>
    <x:row r="60" ht="72" customHeight="1">
      <x:c r="A60" s="24" t="str">
        <x:v>YouTube</x:v>
      </x:c>
      <x:c r="B60" s="24" t="str">
        <x:v>The Retirement Income Investor</x:v>
      </x:c>
      <x:c r="C60" s="24" t="str">
        <x:v>https://www.youtube.com/channel/UCN9_N18CDKFh2n1rjd41NvQ</x:v>
      </x:c>
      <x:c r="D60" s="24" t="n">
        <x:v>165000</x:v>
      </x:c>
      <x:c r="E60" s="24" t="str">
        <x:v>英文</x:v>
      </x:c>
      <x:c r="F60" s="24" t="str">
        <x:v>美国（受众地域按原证据置信度）</x:v>
      </x:c>
      <x:c r="G60" s="24" t="str">
        <x:v>Trading/options；Retail investing</x:v>
      </x:c>
      <x:c r="H60" s="24" t="str">
        <x:v>独立 KOL / creator</x:v>
      </x:c>
      <x:c r="I60" s="24" t="str">
        <x:v>—</x:v>
      </x:c>
      <x:c r="J60" s="24" t="str">
        <x:v>Approve</x:v>
      </x:c>
      <x:c r="K60" s="24" t="str">
        <x:v>C0｜Unverified / insufficient</x:v>
      </x:c>
      <x:c r="L60" s="24" t="str"/>
      <x:c r="M60" s="24" t="str">
        <x:v>自有 Options Income Academy/工具不计品牌商务入口；未发现 business email。</x:v>
      </x:c>
      <x:c r="N60" s="24" t="str">
        <x:v>批准后确认 Creators Agency 当前关系、商务入口、受众地域、sponsor 价格与 backtest disclosure。</x:v>
      </x:c>
      <x:c r="O60" s="24" t="str">
        <x:v>定位：Direct bridge creator
依据：professional authority/content credibility; direct audience fit; historical sponsor/partner evidence；内容 20/20；90天活跃 Yes；E2；核验 2026-09-04T12:41:48+08:00
判断：20/20 直接符合 Trading/options 或 Retail education；原来按个股分析排除属于 lane 错配。
风险/下一步：自有付费 academy；需区分 hypothetical/backtest 与实盘，所幸披露较清楚。自然触达偏低。；批准后确认 Creators Agency 当前关系、商务入口、受众地域、sponsor 价格与 backtest disclosure。</x:v>
      </x:c>
      <x:c r="P60" s="24" t="str">
        <x:v>CRT-008</x:v>
      </x:c>
    </x:row>
    <x:row r="61" ht="72" customHeight="1">
      <x:c r="A61" s="24" t="str">
        <x:v>YouTube; Newsletter</x:v>
      </x:c>
      <x:c r="B61" s="24" t="str">
        <x:v>Daniel Braun</x:v>
      </x:c>
      <x:c r="C61" s="24" t="str">
        <x:v>https://www.youtube.com/@Daniel_Braun</x:v>
      </x:c>
      <x:c r="D61" s="24" t="n">
        <x:v>249000</x:v>
      </x:c>
      <x:c r="E61" s="24" t="str">
        <x:v>英文</x:v>
      </x:c>
      <x:c r="F61" s="24" t="str">
        <x:v>美国</x:v>
      </x:c>
      <x:c r="G61" s="24" t="str">
        <x:v>Retail investing；Fintech/AI Finance</x:v>
      </x:c>
      <x:c r="H61" s="24" t="str">
        <x:v>独立 KOL / creator</x:v>
      </x:c>
      <x:c r="I61" s="24" t="str">
        <x:v>P2 route verification</x:v>
      </x:c>
      <x:c r="J61" s="24" t="str">
        <x:v>Approve</x:v>
      </x:c>
      <x:c r="K61" s="24" t="str">
        <x:v>C1｜Not ready for commercial execution</x:v>
      </x:c>
      <x:c r="L61" s="24" t="str"/>
      <x:c r="M61" s="24" t="str">
        <x:v>No creator-authorized brand contact observed; Creators Agency relationship requires reconfirmation</x:v>
      </x:c>
      <x:c r="N61" s="24" t="str">
        <x:v>Use authorized supplier outreach to ask Creators Agency whether Daniel is currently represented and…</x:v>
      </x:c>
      <x:c r="O61" s="24" t="str">
        <x:v>定位：Direct bridge creator
依据：supplier/media roster; direct audience/content fit; commercial route requires confirmation；内容 10/10；90天活跃 Yes；E3；核验 2026-09-06
判断：All ten recent long videos and six of seven Shorts directly cover cards, credit, points or consumer fintech, with stable US-facing performance. Content passes, but the only supplier route became unconfirmed on the current public page, so the creator does not …
风险/下一步：High credit-card affiliate density and issuer/category conflicts require offer-level disclosure and audience-conversion review; no severe return promise was ob…；Use authorized supplier outreach to ask Creators Agency whether Daniel is currently represented and available; otherwise locate a creator-authorized business route before requesti…</x:v>
      </x:c>
      <x:c r="P61" s="24" t="str">
        <x:v>SBI-038</x:v>
      </x:c>
    </x:row>
    <x:row r="62" ht="72" customHeight="1">
      <x:c r="A62" s="24" t="str">
        <x:v>X</x:v>
      </x:c>
      <x:c r="B62" s="24" t="str">
        <x:v>川沐 (@xiaomustock)</x:v>
      </x:c>
      <x:c r="C62" s="24" t="str">
        <x:v>https://x.com/xiaomustock</x:v>
      </x:c>
      <x:c r="D62" s="24" t="n">
        <x:v>281978</x:v>
      </x:c>
      <x:c r="E62" s="24" t="str">
        <x:v>中文</x:v>
      </x:c>
      <x:c r="F62" s="24" t="str">
        <x:v>香港/大中华; 全球/跨境; 美国（内容市场；受众地域为推断）</x:v>
      </x:c>
      <x:c r="G62" s="24" t="str">
        <x:v>Crypto × Equity/新金融；美股/市场评论; Trading/options</x:v>
      </x:c>
      <x:c r="H62" s="24" t="str">
        <x:v>Proxy root（仅观察）</x:v>
      </x:c>
      <x:c r="I62" s="24" t="str">
        <x:v>P1 observation</x:v>
      </x:c>
      <x:c r="J62" s="24" t="str">
        <x:v>Approve</x:v>
      </x:c>
      <x:c r="K62" s="24" t="str">
        <x:v>C0｜仅观察</x:v>
      </x:c>
      <x:c r="L62" s="24" t="str"/>
      <x:c r="M62" s="24" t="str">
        <x:v>Do not solicit — profile states no promotions or advertising</x:v>
      </x:c>
      <x:c r="N62" s="24" t="str">
        <x:v>仅观察，不联系</x:v>
      </x:c>
      <x:c r="O62" s="24" t="str">
        <x:v>定位：Proxy root
依据：root observation; direct target-information-flow fit；内容 13/20；90天活跃 Yes；E3；核验 2026-09-06
判断：最新样本持续覆盖美股、A/H 股、半导体、AI、利率、黄金与 Bitcoin，适合作为中文跨市场交易信息流观察点；本人简介明确拒绝推广和广告，因此不作为商业投放对象。
风险/下一步：存在集中持仓、‘梭哈’等高风险交易表达；该标签限制其品牌投放价值，但不妨碍作为 proxy root 观察。；加入中文 proxy-root 观察队列；不发送赞助询问，不把拒绝广告解释为 manager 或商务关系。</x:v>
      </x:c>
      <x:c r="P62" s="24" t="str">
        <x:v>CRT-017</x:v>
      </x:c>
    </x:row>
    <x:row r="63" ht="72" customHeight="1">
      <x:c r="A63" s="24" t="str">
        <x:v>X</x:v>
      </x:c>
      <x:c r="B63" s="24" t="str">
        <x:v>郭明錤 | Ming-Chi Kuo (@mingchikuo)</x:v>
      </x:c>
      <x:c r="C63" s="24" t="str">
        <x:v>https://x.com/mingchikuo/with_replies?lang=en</x:v>
      </x:c>
      <x:c r="D63" s="24" t="str">
        <x:v>unknown</x:v>
      </x:c>
      <x:c r="E63" s="24" t="str">
        <x:v>英文</x:v>
      </x:c>
      <x:c r="F63" s="24" t="str">
        <x:v>美国; 香港/大中华; 全球/跨境</x:v>
      </x:c>
      <x:c r="G63" s="24" t="str">
        <x:v>美股/市场评论；Fintech/AI Finance</x:v>
      </x:c>
      <x:c r="H63" s="24" t="str">
        <x:v>Proxy root（仅观察）</x:v>
      </x:c>
      <x:c r="I63" s="24" t="str">
        <x:v>—</x:v>
      </x:c>
      <x:c r="J63" s="24" t="str">
        <x:v>Approve</x:v>
      </x:c>
      <x:c r="K63" s="24" t="str">
        <x:v>C0｜仅观察</x:v>
      </x:c>
      <x:c r="L63" s="24" t="str"/>
      <x:c r="M63" s="24" t="str">
        <x:v>券商/个人资料不是 creator sponsorship route。</x:v>
      </x:c>
      <x:c r="N63" s="24" t="str">
        <x:v>仅观察，不联系</x:v>
      </x:c>
      <x:c r="O63" s="24" t="str">
        <x:v>定位：Proxy root
依据：root observation; professional authority/content credibility; direct audience fit; root visibility/interaction；90天活跃 Unknown；E3；核验 2026-09-04T12:41:48+08:00
判断：身份、专业方向与 2026 近期公开研究表达均有直接证据，适合作为 proxy root。
风险/下一步：分析师合规和雇主政策；预测记录需逐条验证，不能把 analyst 身份等同 campaign endorsement。；第二阶段仅在 root map 获批后定向核 approved creator 与其互动。</x:v>
      </x:c>
      <x:c r="P63" s="24" t="str">
        <x:v>CRT-020</x:v>
      </x:c>
    </x:row>
    <x:row r="64" ht="72" customHeight="1">
      <x:c r="A64" s="24" t="str">
        <x:v>X</x:v>
      </x:c>
      <x:c r="B64" s="24" t="str">
        <x:v>宏观边际 MacroMargin (@MacroMargin)</x:v>
      </x:c>
      <x:c r="C64" s="24" t="str">
        <x:v>https://x.com/MacroMargin</x:v>
      </x:c>
      <x:c r="D64" s="24" t="n">
        <x:v>197413</x:v>
      </x:c>
      <x:c r="E64" s="24" t="str">
        <x:v>中文</x:v>
      </x:c>
      <x:c r="F64" s="24" t="str">
        <x:v>中国内地; 美国; 全球/跨境</x:v>
      </x:c>
      <x:c r="G64" s="24" t="str">
        <x:v>美股/市场评论；Retail investing; Crypto × Equity/新金融</x:v>
      </x:c>
      <x:c r="H64" s="24" t="str">
        <x:v>Proxy root（仅观察）</x:v>
      </x:c>
      <x:c r="I64" s="24" t="str">
        <x:v>P0 Chinese macro root / business-route verification</x:v>
      </x:c>
      <x:c r="J64" s="24" t="str">
        <x:v>Approve</x:v>
      </x:c>
      <x:c r="K64" s="24" t="str">
        <x:v>C1｜仅观察</x:v>
      </x:c>
      <x:c r="L64" s="24" t="str"/>
      <x:c r="M64" s="24" t="str">
        <x:v>Official research subscription site is verified. support@ocmacro.com is customer support and is not treated as a brand-business contact.</x:v>
      </x:c>
      <x:c r="N64" s="24" t="str">
        <x:v>仅观察，不联系</x:v>
      </x:c>
      <x:c r="O64" s="24" t="str">
        <x:v>定位：Chinese macro proxy root + newsletter/direct bridge
依据：direct audience/content fit; root visibility; professional/content authority；内容 13/20；90天活跃 Yes；E3；核验 2026-09-06
判断：The official site exposes support@ocmacro.com and subscription-access channels. The only relevant X hit asks a paying subscriber to send an email for account access. These are customer-support functions, not a brand-business route.
风险/下一步：Creator-owned paid macro research creates a conflict tag but not an exclusion. Reply-heavy latest slice has modest median visible interaction; no severe perfor…；Use as a pilot Chinese macro root and locate an explicit media/brand cooperation route; do not redirect a sponsorship inquiry to customer support without confirmation.</x:v>
      </x:c>
      <x:c r="P64" s="24" t="str">
        <x:v>CN-X2-009</x:v>
      </x:c>
    </x:row>
    <x:row r="65" ht="72" customHeight="1">
      <x:c r="A65" s="24" t="str">
        <x:v>X</x:v>
      </x:c>
      <x:c r="B65" s="24" t="str">
        <x:v>外汇交易员 (@fxtrader)</x:v>
      </x:c>
      <x:c r="C65" s="24" t="str">
        <x:v>https://x.com/fxtrader</x:v>
      </x:c>
      <x:c r="D65" s="24" t="n">
        <x:v>404193</x:v>
      </x:c>
      <x:c r="E65" s="24" t="str">
        <x:v>中文</x:v>
      </x:c>
      <x:c r="F65" s="24" t="str">
        <x:v>中国内地; 美国; 全球/跨境</x:v>
      </x:c>
      <x:c r="G65" s="24" t="str">
        <x:v>美股/市场评论；Trading/options</x:v>
      </x:c>
      <x:c r="H65" s="24" t="str">
        <x:v>Proxy root（仅观察）</x:v>
      </x:c>
      <x:c r="I65" s="24" t="str">
        <x:v>P1 Chinese macro/news observation</x:v>
      </x:c>
      <x:c r="J65" s="24" t="str">
        <x:v>Approve</x:v>
      </x:c>
      <x:c r="K65" s="24" t="str">
        <x:v>C0｜仅观察</x:v>
      </x:c>
      <x:c r="L65" s="24" t="str"/>
      <x:c r="M65" s="24" t="str">
        <x:v>No creator-authorized brand-business route was observed in the profile or targeted one-year search.</x:v>
      </x:c>
      <x:c r="N65" s="24" t="str">
        <x:v>仅观察，不联系</x:v>
      </x:c>
      <x:c r="O65" s="24" t="str">
        <x:v>定位：Chinese macro/news visibility bridge + proxy root — Observe Only; not an original-analysis creator
依据：direct audience/content fit; root visibility; professional/content authority；内容 14/20；90天活跃 Yes；E3；核验 2026-09-06
判断：The account is highly active and frequently delivers Chinese-language US macro, rates, labor and market data. Mutual/current follow evidence with PhyrexNi and inbound xiaomustock follow support visibility, but no direct interaction or business route was obser…
风险/下一步：Most recent output is fast news/data curation and attributed or unattributed paraphrase rather than durable original investment analysis. Geopolitics and break…；Use as an information-flow monitor and discovery source. Do not add to outreach until original inventory, source policy and a creator-authorized brand route are verified.</x:v>
      </x:c>
      <x:c r="P65" s="24" t="str">
        <x:v>CN-X3-002</x:v>
      </x:c>
    </x:row>
    <x:row r="66" ht="72" customHeight="1">
      <x:c r="A66" s="24" t="str">
        <x:v>X</x:v>
      </x:c>
      <x:c r="B66" s="24" t="str">
        <x:v>午饭投资 (@wufantouzi)</x:v>
      </x:c>
      <x:c r="C66" s="24" t="str">
        <x:v>https://x.com/wufantouzi</x:v>
      </x:c>
      <x:c r="D66" s="24" t="n">
        <x:v>134347</x:v>
      </x:c>
      <x:c r="E66" s="24" t="str">
        <x:v>中文</x:v>
      </x:c>
      <x:c r="F66" s="24" t="str">
        <x:v>香港/大中华; 中国内地; 美国（内容市场）; 全球/跨境</x:v>
      </x:c>
      <x:c r="G66" s="24" t="str">
        <x:v>美股/市场评论；Crypto × Equity/新金融; Trading/options</x:v>
      </x:c>
      <x:c r="H66" s="24" t="str">
        <x:v>Proxy root（仅观察）</x:v>
      </x:c>
      <x:c r="I66" s="24" t="str">
        <x:v>P1 discovery/root observation</x:v>
      </x:c>
      <x:c r="J66" s="24" t="str">
        <x:v>Approve</x:v>
      </x:c>
      <x:c r="K66" s="24" t="str">
        <x:v>C0｜仅观察</x:v>
      </x:c>
      <x:c r="L66" s="24" t="str"/>
      <x:c r="M66" s="24" t="str">
        <x:v>A March 2026 post publishes a colleague route for qualified-investor WRK fund inquiries. That is an investment-solicitation route, not a creator-brand contact, and is excluded from Outreach Ready.</x:v>
      </x:c>
      <x:c r="N66" s="24" t="str">
        <x:v>仅观察，不联系</x:v>
      </x:c>
      <x:c r="O66" s="24" t="str">
        <x:v>定位：Chinese crypto-equity/fund-manager proxy root — Observe Only; not approved as a paid creator
依据：direct audience/content fit; root visibility; observed interaction bridge；内容 15/20；90天活跃 Yes；E3；核验 2026-09-06
判断：The account is active, finance-dense and observed by PhyrexNi and xiaomustock, with a direct xiaomustock reply/mention. It is valuable for observing Chinese crypto-equity and qualified-investor information flow. Owned-fund solicitation and extraordinary-perfo…
风险/下一步：Direct holdings and owned-fund conflict; repeated 5x–20x personal track-record references, WRK +70% promotion, high-conviction CRCL calls and language such as …；Use only as an Observe Only root for crypto-equity/US-stock discovery. Do not contact through the WRK investor route and do not shortlist as a paid creator unless compliance and a…</x:v>
      </x:c>
      <x:c r="P66" s="24" t="str">
        <x:v>CN-X3-001</x:v>
      </x:c>
    </x:row>
    <x:row r="67" ht="72" customHeight="1">
      <x:c r="A67" s="24" t="str">
        <x:v>X</x:v>
      </x:c>
      <x:c r="B67" s="24" t="str">
        <x:v>AB Kuai.Dong (@_FORAB)</x:v>
      </x:c>
      <x:c r="C67" s="24" t="str">
        <x:v>https://x.com/_FORAB</x:v>
      </x:c>
      <x:c r="D67" s="24" t="n">
        <x:v>142314</x:v>
      </x:c>
      <x:c r="E67" s="24" t="str">
        <x:v>中文</x:v>
      </x:c>
      <x:c r="F67" s="24" t="str">
        <x:v>全球/跨境; 美国; 大中华</x:v>
      </x:c>
      <x:c r="G67" s="24" t="str">
        <x:v>Fintech/AI Finance；Crypto × Equity/新金融; 美股/市场评论</x:v>
      </x:c>
      <x:c r="H67" s="24" t="str">
        <x:v>Proxy root（仅观察）</x:v>
      </x:c>
      <x:c r="I67" s="24" t="str">
        <x:v>P1 discovery/interaction observation</x:v>
      </x:c>
      <x:c r="J67" s="24" t="str">
        <x:v>Approve</x:v>
      </x:c>
      <x:c r="K67" s="24" t="str">
        <x:v>C0｜仅观察</x:v>
      </x:c>
      <x:c r="L67" s="24" t="str"/>
      <x:c r="M67" s="24" t="str">
        <x:v>No creator-authorized brand-business route verified.</x:v>
      </x:c>
      <x:c r="N67" s="24" t="str">
        <x:v>仅观察，不联系</x:v>
      </x:c>
      <x:c r="O67" s="24" t="str">
        <x:v>定位：Proxy root + Chinese tech/Web3 media interaction bridge — Observe Only; not approved as a finance-first creator
依据：root visibility; observed interaction bridge; professional/media authority; direct tech/Web3 audience fit；内容 5/20；90天活跃 Yes；E3；核验 2026-09-06
判断：Three discovery roots currently follow the account and recent direct reply/mention events from PhyrexNi and xiaomustock support an interaction-bridge role. The latest 20 contained only about five directly finance-lane items, while the wider 100-post screen wa…
风险/下一步：Recent output is broad technology, business, geopolitics and lifestyle rather than a consistently finance-first feed. Crypto-industry adjacency requires campai…；Use as a Chinese tech/Web3 information-flow observation point. Do not add to outreach. Reconsider creator placement only for a matching technology/Web3 brief after checking curren…</x:v>
      </x:c>
      <x:c r="P67" s="24" t="str">
        <x:v>CN-X2-001</x:v>
      </x:c>
    </x:row>
    <x:row r="68" ht="72" customHeight="1">
      <x:c r="A68" s="24" t="str">
        <x:v>X</x:v>
      </x:c>
      <x:c r="B68" s="24" t="str">
        <x:v>Charlie Bilello (@charliebilello)</x:v>
      </x:c>
      <x:c r="C68" s="24" t="str">
        <x:v>https://creativeplanning.com/team/charlie-bilello/</x:v>
      </x:c>
      <x:c r="D68" s="24" t="str">
        <x:v>unknown</x:v>
      </x:c>
      <x:c r="E68" s="24" t="str">
        <x:v>英文</x:v>
      </x:c>
      <x:c r="F68" s="24" t="str">
        <x:v>美国（受众地域按原证据置信度）</x:v>
      </x:c>
      <x:c r="G68" s="24" t="str">
        <x:v>美股/市场评论；Retail investing</x:v>
      </x:c>
      <x:c r="H68" s="24" t="str">
        <x:v>Proxy root（仅观察）</x:v>
      </x:c>
      <x:c r="I68" s="24" t="str">
        <x:v>—</x:v>
      </x:c>
      <x:c r="J68" s="24" t="str">
        <x:v>Approve</x:v>
      </x:c>
      <x:c r="K68" s="24" t="str">
        <x:v>C0｜仅观察</x:v>
      </x:c>
      <x:c r="L68" s="24" t="str"/>
      <x:c r="M68" s="24" t="str">
        <x:v>Creative Planning client contact 不是 creator sponsorship route。</x:v>
      </x:c>
      <x:c r="N68" s="24" t="str">
        <x:v>仅观察，不联系</x:v>
      </x:c>
      <x:c r="O68" s="24" t="str">
        <x:v>定位：Proxy root
依据：root observation; professional authority/content credibility; direct audience fit; root visibility/interaction；90天活跃 Unknown；E2；核验 2026-09-04T12:41:48+08:00
判断：机构身份、美国市场策略内容和近期官方文章成立，适合作为观察信息流的 proxy root；不按 direct creator hard gate。
风险/下一步：机构雇佣/合规边界；不得把公司客户入口当 creator 商务入口。；用户批准 root map 后，再对 approved creators 做定向 relationship audit。</x:v>
      </x:c>
      <x:c r="P68" s="24" t="str">
        <x:v>CRT-013</x:v>
      </x:c>
    </x:row>
    <x:row r="69" ht="72" customHeight="1">
      <x:c r="A69" s="24" t="str">
        <x:v>X</x:v>
      </x:c>
      <x:c r="B69" s="24" t="str">
        <x:v>Corey Hoffstein</x:v>
      </x:c>
      <x:c r="C69" s="24" t="str">
        <x:v>https://blog.thinknewfound.com/author/choffstein/</x:v>
      </x:c>
      <x:c r="D69" s="24" t="str">
        <x:v>unknown</x:v>
      </x:c>
      <x:c r="E69" s="24" t="str">
        <x:v>英文</x:v>
      </x:c>
      <x:c r="F69" s="24" t="str">
        <x:v>美国（受众地域按原证据置信度）</x:v>
      </x:c>
      <x:c r="G69" s="24" t="str">
        <x:v>Trading/options；美股/市场评论</x:v>
      </x:c>
      <x:c r="H69" s="24" t="str">
        <x:v>Proxy root（仅观察）</x:v>
      </x:c>
      <x:c r="I69" s="24" t="str">
        <x:v>—</x:v>
      </x:c>
      <x:c r="J69" s="24" t="str">
        <x:v>Approve</x:v>
      </x:c>
      <x:c r="K69" s="24" t="str">
        <x:v>C0｜仅观察</x:v>
      </x:c>
      <x:c r="L69" s="24" t="str"/>
      <x:c r="M69" s="24" t="str">
        <x:v>公司/研究联系不等于 creator sponsorship route。</x:v>
      </x:c>
      <x:c r="N69" s="24" t="str">
        <x:v>仅观察，不联系</x:v>
      </x:c>
      <x:c r="O69" s="24" t="str">
        <x:v>定位：Proxy root
依据：root observation; professional authority/content credibility; direct audience fit; root visibility/interaction；90天活跃 Unknown；E2；核验 2026-09-04T12:41:48+08:00
判断：身份与量化/衍生品专业性明确，适合作为 proxy root。
风险/下一步：机构研究者，不应被误写成可直接投放 KOL。；第二阶段在 named root map 获批后做定向关系审计。</x:v>
      </x:c>
      <x:c r="P69" s="24" t="str">
        <x:v>CRT-014</x:v>
      </x:c>
    </x:row>
    <x:row r="70" ht="72" customHeight="1">
      <x:c r="A70" s="24" t="str">
        <x:v>X</x:v>
      </x:c>
      <x:c r="B70" s="24" t="str">
        <x:v>fin (@fi56622380)</x:v>
      </x:c>
      <x:c r="C70" s="24" t="str">
        <x:v>https://x.com/fi56622380</x:v>
      </x:c>
      <x:c r="D70" s="24" t="n">
        <x:v>77218</x:v>
      </x:c>
      <x:c r="E70" s="24" t="str">
        <x:v>中文</x:v>
      </x:c>
      <x:c r="F70" s="24" t="str">
        <x:v>美国（content proxy）; 香港/大中华; 全球/跨境</x:v>
      </x:c>
      <x:c r="G70" s="24" t="str">
        <x:v>Fintech/AI Finance；美股/市场评论</x:v>
      </x:c>
      <x:c r="H70" s="24" t="str">
        <x:v>Proxy root（仅观察）</x:v>
      </x:c>
      <x:c r="I70" s="24" t="str">
        <x:v>P1 business-route verification</x:v>
      </x:c>
      <x:c r="J70" s="24" t="str">
        <x:v>Approve</x:v>
      </x:c>
      <x:c r="K70" s="24" t="str">
        <x:v>C0｜仅观察</x:v>
      </x:c>
      <x:c r="L70" s="24" t="str"/>
      <x:c r="M70" s="24" t="str">
        <x:v>No verified brand-business contact.</x:v>
      </x:c>
      <x:c r="N70" s="24" t="str">
        <x:v>仅观察，不联系</x:v>
      </x:c>
      <x:c r="O70" s="24" t="str">
        <x:v>定位：Low-frequency vertical expert + proxy root
依据：direct audience fit; professional/content authority; root visibility/interaction；内容 3/6；90天活跃 Yes；E2；核验 2026-09-06
判断：Low volume is offset by substantive AI/semiconductor technical analysis, high natural interaction and a mutual Ming-Chi Kuo visibility signal. Approval is for expert/root value, not proof of commercial availability.
风险/下一步：Sparse output; self-described technical credentials were not independently verified. No severe commercial or brand-safety pattern was observed in the small rec…；Verify identity/technical background and an explicit business route; then assess whether the creator accepts a single expert integration or only publishes independently.</x:v>
      </x:c>
      <x:c r="P70" s="24" t="str">
        <x:v>CN-X-008</x:v>
      </x:c>
    </x:row>
    <x:row r="71" ht="72" customHeight="1">
      <x:c r="A71" s="24" t="str">
        <x:v>X</x:v>
      </x:c>
      <x:c r="B71" s="24" t="str">
        <x:v>Phyrex（倪大） (@PhyrexNi)</x:v>
      </x:c>
      <x:c r="C71" s="24" t="str">
        <x:v>https://x.com/PhyrexNi</x:v>
      </x:c>
      <x:c r="D71" s="24" t="n">
        <x:v>404552</x:v>
      </x:c>
      <x:c r="E71" s="24" t="str">
        <x:v>中文</x:v>
      </x:c>
      <x:c r="F71" s="24" t="str">
        <x:v>美国（内容市场）; 香港/大中华; 全球/跨境</x:v>
      </x:c>
      <x:c r="G71" s="24" t="str">
        <x:v>美股/市场评论；Fintech/AI Finance; Crypto × Equity/新金融</x:v>
      </x:c>
      <x:c r="H71" s="24" t="str">
        <x:v>Proxy root（仅观察）</x:v>
      </x:c>
      <x:c r="I71" s="24" t="str">
        <x:v>P1 business-route verification</x:v>
      </x:c>
      <x:c r="J71" s="24" t="str">
        <x:v>Approve</x:v>
      </x:c>
      <x:c r="K71" s="24" t="str">
        <x:v>C1｜仅观察</x:v>
      </x:c>
      <x:c r="L71" s="24" t="str"/>
      <x:c r="M71" s="24" t="str">
        <x:v>No verified direct brand-business contact. Profile discloses occasional sponsored content and publishes multiple exchange/asset-platform links.</x:v>
      </x:c>
      <x:c r="N71" s="24" t="str">
        <x:v>仅观察，不联系</x:v>
      </x:c>
      <x:c r="O71" s="24" t="str">
        <x:v>定位：Proxy root + conditional direct bridge creator
依据：direct audience fit; professional/content authority; root visibility/interaction；内容 632/800；90天活跃 Yes；E2；核验 2026-09-06
判断：High-volume original Chinese macro, ETF, options and cross-asset content plus a strong Ming-Chi Kuo visibility signal make the account useful both as an observation root and a conditional bridge. It is not yet Outreach Ready because the direct business route …
风险/下一步：Dense exchange/affiliate adjacency; positions and performance language; mixed crypto/equity remit. No verified guaranteed-return claim was observed in this aud…；Verify the creator's own brand-business route, current exchange conflicts and campaign exclusions; do not infer a 4XLABS supplier relationship.</x:v>
      </x:c>
      <x:c r="P71" s="24" t="str">
        <x:v>CN-X-001</x:v>
      </x:c>
    </x:row>
    <x:row r="72" ht="72" customHeight="1">
      <x:c r="A72" s="24" t="str">
        <x:v>X</x:v>
      </x:c>
      <x:c r="B72" s="24" t="str">
        <x:v>Serenity (@aleabitoreddit)</x:v>
      </x:c>
      <x:c r="C72" s="24" t="str">
        <x:v>https://x.com/aleabitoreddit</x:v>
      </x:c>
      <x:c r="D72" s="24" t="n">
        <x:v>1026992</x:v>
      </x:c>
      <x:c r="E72" s="24" t="str">
        <x:v>中文; 英文</x:v>
      </x:c>
      <x:c r="F72" s="24" t="str">
        <x:v>美国（内容市场）; 香港/大中华; 全球/跨境</x:v>
      </x:c>
      <x:c r="G72" s="24" t="str">
        <x:v>美股/市场评论；Fintech/AI Finance</x:v>
      </x:c>
      <x:c r="H72" s="24" t="str">
        <x:v>Proxy root（仅观察）</x:v>
      </x:c>
      <x:c r="I72" s="24" t="str">
        <x:v>P0 observation root</x:v>
      </x:c>
      <x:c r="J72" s="24" t="str">
        <x:v>Approve</x:v>
      </x:c>
      <x:c r="K72" s="24" t="str">
        <x:v>C0｜仅观察</x:v>
      </x:c>
      <x:c r="L72" s="24" t="str"/>
      <x:c r="M72" s="24" t="str">
        <x:v>None verified. Current X profile says the account is only on X and accepts no paid promotions.</x:v>
      </x:c>
      <x:c r="N72" s="24" t="str">
        <x:v>仅观察，不联系</x:v>
      </x:c>
      <x:c r="O72" s="24" t="str">
        <x:v>定位：Proxy root + direct bridge content authority
依据：direct audience fit; professional/content authority; root visibility/interaction；内容 410/455；90天活跃 Yes；E2；核验 2026-09-06
判断：Exceptionally strong original AI/semiconductor supply-chain research and observed Ming-Chi Kuo visibility justify retaining the account as a root/bridge authority. The creator's explicit no-paid-promotions statement prevents Outreach Ready status.
风险/下一步：Self-reported extraordinary YTD performance; very rapid audience growth from a 2025-created account requires audience-quality validation before any future paid…；Use only as an observation root and sponsor/root-adjacency source; do not solicit while the no-paid-promotions statement remains current.</x:v>
      </x:c>
      <x:c r="P72" s="24" t="str">
        <x:v>CN-X-003</x:v>
      </x:c>
    </x:row>
    <x:row r="73" ht="72" customHeight="1">
      <x:c r="A73" s="24" t="str">
        <x:v>X</x:v>
      </x:c>
      <x:c r="B73" s="24" t="str">
        <x:v>BruceBlue</x:v>
      </x:c>
      <x:c r="C73" s="24" t="str">
        <x:v>https://x.com/BruceBlue</x:v>
      </x:c>
      <x:c r="D73" s="24" t="n">
        <x:v>9340</x:v>
      </x:c>
      <x:c r="E73" s="24" t="str">
        <x:v>中文; 英文</x:v>
      </x:c>
      <x:c r="F73" s="24" t="str">
        <x:v>香港/大中华; 全球/跨境</x:v>
      </x:c>
      <x:c r="G73" s="24" t="str">
        <x:v>Crypto × Equity/新金融；Fintech/AI Finance</x:v>
      </x:c>
      <x:c r="H73" s="24" t="str">
        <x:v>独立 KOL / creator</x:v>
      </x:c>
      <x:c r="I73" s="24" t="str">
        <x:v>P2</x:v>
      </x:c>
      <x:c r="J73" s="24" t="str">
        <x:v>Question</x:v>
      </x:c>
      <x:c r="K73" s="24" t="str">
        <x:v>C0｜Not outreach ready</x:v>
      </x:c>
      <x:c r="L73" s="24" t="str"/>
      <x:c r="M73" s="24" t="str">
        <x:v>No creator-authorized brand contact observed; GitHub is not treated as a business route.</x:v>
      </x:c>
      <x:c r="N73" s="24" t="str">
        <x:v>补关键证据 / 可随商务询问验证</x:v>
      </x:c>
      <x:c r="O73" s="24" t="str">
        <x:v>定位：Question — AI/technology creator with concentrated token-project promotion
依据：直接受众匹配; 专业权威与内容可信度; root visibility; 历史 sponsor/商业证据；内容 6/20；90天活跃 Yes；E2；核验 2026-09-06
判断：The remaining gap is economic-interest disclosure, not content quantity. A personal note about prior UniSat investment and use of public TapeOut information does not resolve current TapeOut/$BEM exposure.
风险/下一步：Recent content is heavily concentrated on TapeOut/$BEM. No first-party statement establishing or denying a direct economic interest in TapeOut was observed. A …；Keep Question. Upgrade only with direct conflict disclosure and an acceptable creator business route; reject for campaigns if paid issuer promotion, undisclosed holdings or contro…</x:v>
      </x:c>
      <x:c r="P73" s="24" t="str">
        <x:v>CN-X4-006</x:v>
      </x:c>
    </x:row>
    <x:row r="74" ht="72" customHeight="1">
      <x:c r="A74" s="24" t="str">
        <x:v>Unknown</x:v>
      </x:c>
      <x:c r="B74" s="24" t="str">
        <x:v>IPAI老谢</x:v>
      </x:c>
      <x:c r="C74" s="24" t="str">
        <x:v>https://www.kolchain.com.cn/</x:v>
      </x:c>
      <x:c r="D74" s="24" t="str">
        <x:v>unknown</x:v>
      </x:c>
      <x:c r="E74" s="24" t="str">
        <x:v>中文</x:v>
      </x:c>
      <x:c r="F74" s="24" t="str">
        <x:v>中国内地; 香港/大中华; 全球/跨境</x:v>
      </x:c>
      <x:c r="G74" s="24" t="str">
        <x:v>Retail investing；Trading/options</x:v>
      </x:c>
      <x:c r="H74" s="24" t="str">
        <x:v>独立 KOL / creator</x:v>
      </x:c>
      <x:c r="I74" s="24" t="str">
        <x:v>P3</x:v>
      </x:c>
      <x:c r="J74" s="24" t="str">
        <x:v>Question</x:v>
      </x:c>
      <x:c r="K74" s="24" t="str">
        <x:v>C1｜Not ready — exact creator identity unavailable</x:v>
      </x:c>
      <x:c r="L74" s="24" t="str"/>
      <x:c r="M74" s="24" t="str">
        <x:v>Covered by the existing IPAI institution verification route; no creator-level route</x:v>
      </x:c>
      <x:c r="N74" s="24" t="str">
        <x:v>补关键证据 / 可随商务询问验证</x:v>
      </x:c>
      <x:c r="O74" s="24" t="str">
        <x:v>定位：Question / evidence insufficient
依据：supplier roster claim only；内容 0/?；90天活跃 Unknown；E1；核验 2026-09-06
判断：The search produced a plausible namesake but no identity bridge. Without an exact account, creator-level content, audience and risk judgments remain impossible; missing information does not justify Reject.
风险/下一步：A current account named 爱冲浪的老谢 was discovered, but no evidence links it to IPAI老谢; identities are intentionally not merged.；Use the prepared IPAI verification inquiry to ask whether 爱冲浪的老谢 is the claimed IPAI老谢 and request exact platform URLs, relationship label and individual booking authority. Re-aud…</x:v>
      </x:c>
      <x:c r="P74" s="24" t="str">
        <x:v>CN-LC-006</x:v>
      </x:c>
    </x:row>
    <x:row r="75" ht="72" customHeight="1">
      <x:c r="A75" s="24" t="str">
        <x:v>X</x:v>
      </x:c>
      <x:c r="B75" s="24" t="str">
        <x:v>Vida (@Vida_BWE)</x:v>
      </x:c>
      <x:c r="C75" s="24" t="str">
        <x:v>https://x.com/Vida_BWE</x:v>
      </x:c>
      <x:c r="D75" s="24" t="n">
        <x:v>78055</x:v>
      </x:c>
      <x:c r="E75" s="24" t="str">
        <x:v>English; 中文 unknown</x:v>
      </x:c>
      <x:c r="F75" s="24" t="str">
        <x:v>全球/跨境; 美国 unknown</x:v>
      </x:c>
      <x:c r="G75" s="24" t="str">
        <x:v>Trading/options；Crypto × Equity/新金融</x:v>
      </x:c>
      <x:c r="H75" s="24" t="str">
        <x:v>Proxy root（仅观察）</x:v>
      </x:c>
      <x:c r="I75" s="24" t="str">
        <x:v>Hold — await compliant source visibility</x:v>
      </x:c>
      <x:c r="J75" s="24" t="str">
        <x:v>Question</x:v>
      </x:c>
      <x:c r="K75" s="24" t="str">
        <x:v>C0｜仅观察</x:v>
      </x:c>
      <x:c r="L75" s="24" t="str"/>
      <x:c r="M75" s="24" t="str">
        <x:v>No verified public business route.</x:v>
      </x:c>
      <x:c r="N75" s="24" t="str">
        <x:v>仅观察，不联系</x:v>
      </x:c>
      <x:c r="O75" s="24" t="str">
        <x:v>定位：Question — possible prop-trading creator/proxy root; protected account
依据：root visibility only; content, interaction and commercial value remain unverified；90天活跃 Unknown — protected account/source visibility gap；E1；核验 2026-09-06
判断：The account resolves and all three discovery roots currently follow it, but the profile is protected. RapidAPI returned UserUnavailable/Not authorized for the authored and following endpoints while broad search could still see public inbound mentions. The ear…
风险/下一步：Profile self-identifies as a prop-trading firm founder, but current content and the firm relationship cannot be independently audited. Protected-source zeros m…；Do not repeat automated timeline/following attempts while the account remains protected. Reopen only when the account becomes public or a compliant creator-authorized source suppl…</x:v>
      </x:c>
      <x:c r="P75" s="24" t="str">
        <x:v>CN-X2-003</x:v>
      </x:c>
    </x:row>
    <x:row r="76" ht="72" customHeight="1">
      <x:c r="A76" s="24" t="str">
        <x:v>Bilibili</x:v>
      </x:c>
      <x:c r="B76" s="24" t="str">
        <x:v>Leo黎轮动趋势</x:v>
      </x:c>
      <x:c r="C76" s="24" t="str">
        <x:v>https://space.bilibili.com/575011726</x:v>
      </x:c>
      <x:c r="D76" s="24" t="n">
        <x:v>672</x:v>
      </x:c>
      <x:c r="E76" s="24" t="str">
        <x:v>中文</x:v>
      </x:c>
      <x:c r="F76" s="24" t="str">
        <x:v>中国内地; 香港/大中华; 全球/跨境</x:v>
      </x:c>
      <x:c r="G76" s="24" t="str">
        <x:v>Trading/options；美股/市场评论; Retail investing</x:v>
      </x:c>
      <x:c r="H76" s="24" t="str">
        <x:v>独立 KOL / creator</x:v>
      </x:c>
      <x:c r="I76" s="24" t="str">
        <x:v>Do not contact</x:v>
      </x:c>
      <x:c r="J76" s="24" t="str">
        <x:v>Reject</x:v>
      </x:c>
      <x:c r="K76" s="24" t="str">
        <x:v>C0｜Excluded — do not contact</x:v>
      </x:c>
      <x:c r="L76" s="24" t="str"/>
      <x:c r="M76" s="24" t="str">
        <x:v>No purpose-matched creator business route observed</x:v>
      </x:c>
      <x:c r="N76" s="24" t="str">
        <x:v>不联系｜排除库</x:v>
      </x:c>
      <x:c r="O76" s="24" t="str">
        <x:v>定位：Reject
依据：supplier roster and finance-content fit were audited but failed brand-safety gate；内容 17/20；90天活跃 Yes；E3；核验 2026-09-06
判断：Content is finance-dense, but the repeated urgency and performance-acquisition framing is a severe paid-creator brand-safety risk; relevance does not override the risk gate.
风险/下一步：Latest sample repeatedly uses FOMO/performance-led language including 最后一次上车, 精准避雷, 主升浪, 锁死, 赢麻了, 赚米 and large-wealth framing around specific assets/timing.；Keep in exclusion library. Reconsider only after a sustained public record without urgency/performance promises and with auditable disclosure controls.</x:v>
      </x:c>
      <x:c r="P76" s="24" t="str">
        <x:v>CN-LC-005</x:v>
      </x:c>
    </x:row>
    <x:row r="77" ht="72" customHeight="1">
      <x:c r="A77" s="24" t="str">
        <x:v>X</x:v>
      </x:c>
      <x:c r="B77" s="24" t="str">
        <x:v>0xzhaozhao (@0xzhaozhao)</x:v>
      </x:c>
      <x:c r="C77" s="24" t="str">
        <x:v>https://x.com/0xzhaozhao</x:v>
      </x:c>
      <x:c r="D77" s="24" t="n">
        <x:v>74472</x:v>
      </x:c>
      <x:c r="E77" s="24" t="str">
        <x:v>中文</x:v>
      </x:c>
      <x:c r="F77" s="24" t="str">
        <x:v>中国内地; 香港/大中华; 全球/跨境</x:v>
      </x:c>
      <x:c r="G77" s="24" t="str">
        <x:v>Crypto × Equity/新金融</x:v>
      </x:c>
      <x:c r="H77" s="24" t="str">
        <x:v>独立 KOL / creator</x:v>
      </x:c>
      <x:c r="I77" s="24" t="str">
        <x:v>—</x:v>
      </x:c>
      <x:c r="J77" s="24" t="str">
        <x:v>Reject</x:v>
      </x:c>
      <x:c r="K77" s="24" t="str">
        <x:v>C1｜Excluded — do not contact</x:v>
      </x:c>
      <x:c r="L77" s="24" t="str"/>
      <x:c r="M77" s="24" t="str">
        <x:v>Public Telegram/link hub exists, but no purpose-matched creator brand route was verified.</x:v>
      </x:c>
      <x:c r="N77" s="24" t="str">
        <x:v>不联系｜排除库</x:v>
      </x:c>
      <x:c r="O77" s="24" t="str">
        <x:v>定位：Direct bridge creator
依据：sponsor/affiliate adjacency; public community route；内容 2/20；90天活跃 Yes；E3；核验 2026-09-06
判断：The current feed is crypto/meme and performance-led rather than a high-quality finance bridge. Gambling adjacency and weak finance density trigger exclusion.
风险/下一步：Only 2/20 latest posts matched finance keywords; repeated meme/return/urgency language; gambling sponsorship; post-alert StableStock promotion.；Keep in exclusion library; reconsider only after sustained finance-first research and removal of gambling/performance-led acquisition risk.</x:v>
      </x:c>
      <x:c r="P77" s="24" t="str">
        <x:v>CN-SS-008</x:v>
      </x:c>
    </x:row>
    <x:row r="78" ht="72" customHeight="1">
      <x:c r="A78" s="24" t="str">
        <x:v>X</x:v>
      </x:c>
      <x:c r="B78" s="24" t="str">
        <x:v>勃勃OC (@bboczeng)</x:v>
      </x:c>
      <x:c r="C78" s="24" t="str">
        <x:v>https://x.com/bboczeng</x:v>
      </x:c>
      <x:c r="D78" s="24" t="n">
        <x:v>224045</x:v>
      </x:c>
      <x:c r="E78" s="24" t="str">
        <x:v>中文</x:v>
      </x:c>
      <x:c r="F78" s="24" t="str">
        <x:v>美国（内容市场）; 香港/大中华; 全球/跨境</x:v>
      </x:c>
      <x:c r="G78" s="24" t="str">
        <x:v>美股/市场评论；Trading/options; Fintech/AI Finance</x:v>
      </x:c>
      <x:c r="H78" s="24" t="str">
        <x:v>独立 KOL / creator</x:v>
      </x:c>
      <x:c r="I78" s="24" t="str">
        <x:v>—</x:v>
      </x:c>
      <x:c r="J78" s="24" t="str">
        <x:v>Reject</x:v>
      </x:c>
      <x:c r="K78" s="24" t="str">
        <x:v>C1｜Brand business route unverified</x:v>
      </x:c>
      <x:c r="L78" s="24" t="str"/>
      <x:c r="M78" s="24" t="str">
        <x:v>No verified brand-business contact. https://boist.org/membership/ and X DM support a paid membership/Telegram community, not a brand partnership route.</x:v>
      </x:c>
      <x:c r="N78" s="24" t="str">
        <x:v>不联系｜排除库</x:v>
      </x:c>
      <x:c r="O78" s="24" t="str">
        <x:v>定位：Reject
依据：direct audience fit; professional/content authority; root visibility/interaction；内容 139/608；90天活跃 Yes；E3；核验 2026-09-06
判断：The last 10 official articles are substantive, and the Ming-Chi Kuo reply/mention is a real interaction bridge. However, repeated extraordinary performance projections used next to paid membership, absolute strategy language, the X brand-safety environment an…
风险/下一步：Hard reject: paid-community acquisition is combined with a weekly $50K-to-$1M projection, 'absolute correctness' language for a put-selling strategy and extrao…；Exclude from outreach. Reconsider only after performance-led member acquisition stops, publication analysis is separated from promotional results, a sustained brand-safe record is…</x:v>
      </x:c>
      <x:c r="P78" s="24" t="str">
        <x:v>CN-X-005</x:v>
      </x:c>
    </x:row>
    <x:row r="79" ht="72" customHeight="1">
      <x:c r="A79" s="24" t="str">
        <x:v>X</x:v>
      </x:c>
      <x:c r="B79" s="24" t="str">
        <x:v>大华｜港股打新 (@0xdahua)</x:v>
      </x:c>
      <x:c r="C79" s="24" t="str">
        <x:v>https://x.com/0xdahua</x:v>
      </x:c>
      <x:c r="D79" s="24" t="n">
        <x:v>33280</x:v>
      </x:c>
      <x:c r="E79" s="24" t="str">
        <x:v>中文</x:v>
      </x:c>
      <x:c r="F79" s="24" t="str">
        <x:v>中国内地; 香港/大中华; 全球/跨境</x:v>
      </x:c>
      <x:c r="G79" s="24" t="str">
        <x:v>Trading/options；Crypto × Equity/新金融</x:v>
      </x:c>
      <x:c r="H79" s="24" t="str">
        <x:v>独立 KOL / creator</x:v>
      </x:c>
      <x:c r="I79" s="24" t="str">
        <x:v>—</x:v>
      </x:c>
      <x:c r="J79" s="24" t="str">
        <x:v>Reject</x:v>
      </x:c>
      <x:c r="K79" s="24" t="str">
        <x:v>C1｜Excluded — do not contact</x:v>
      </x:c>
      <x:c r="L79" s="24" t="str"/>
      <x:c r="M79" s="24" t="str">
        <x:v>Owned site/community and public invitation links; no clean brand-booking route verified.</x:v>
      </x:c>
      <x:c r="N79" s="24" t="str">
        <x:v>不联系｜排除库</x:v>
      </x:c>
      <x:c r="O79" s="24" t="str">
        <x:v>定位：Direct bridge creator
依据：direct audience/content fit; affiliate history; sponsor adjacency；内容 11/20；90天活跃 Yes；E3；核验 2026-09-06
判断：Finance relevance exists, but recent content is dominated by acquisition offers, platform promos and giveaways, with an explicit casino affiliate relationship. It does not pass the current quality/brand-safety gate.
风险/下一步：High promotional/giveaway concentration; Roobet casino affiliate promotion; multiple broker/platform conflicts; post-alert StableStock promotion.；Keep in exclusion library; reconsider only with a materially finance-first content mix and removal of gambling/high-conflict promotion.</x:v>
      </x:c>
      <x:c r="P79" s="24" t="str">
        <x:v>CN-SS-005</x:v>
      </x:c>
    </x:row>
    <x:row r="80" ht="72" customHeight="1">
      <x:c r="A80" s="24" t="str">
        <x:v>X</x:v>
      </x:c>
      <x:c r="B80" s="24" t="str">
        <x:v>大仙 (@daxianVIP)</x:v>
      </x:c>
      <x:c r="C80" s="24" t="str">
        <x:v>https://x.com/daxianVIP</x:v>
      </x:c>
      <x:c r="D80" s="24" t="n">
        <x:v>16292</x:v>
      </x:c>
      <x:c r="E80" s="24" t="str">
        <x:v>中文</x:v>
      </x:c>
      <x:c r="F80" s="24" t="str">
        <x:v>中国内地; 香港/大中华; 全球/跨境</x:v>
      </x:c>
      <x:c r="G80" s="24" t="str">
        <x:v>Crypto × Equity/新金融；Trading/options</x:v>
      </x:c>
      <x:c r="H80" s="24" t="str">
        <x:v>独立 KOL / creator</x:v>
      </x:c>
      <x:c r="I80" s="24" t="str">
        <x:v>—</x:v>
      </x:c>
      <x:c r="J80" s="24" t="str">
        <x:v>Reject</x:v>
      </x:c>
      <x:c r="K80" s="24" t="str">
        <x:v>C2｜Excluded — do not contact</x:v>
      </x:c>
      <x:c r="L80" s="24" t="str"/>
      <x:c r="M80" s="24" t="str">
        <x:v>Public DM/Telegram is provided and profile states Oncoin_Live contracted streamer status.</x:v>
      </x:c>
      <x:c r="N80" s="24" t="str">
        <x:v>不联系｜排除库</x:v>
      </x:c>
      <x:c r="O80" s="24" t="str">
        <x:v>定位：Direct bridge creator / contracted streamer
依据：public collaboration route; prediction-market audience; sponsor adjacency；内容 11/20；90天活跃 Yes；E3；核验 2026-09-06
判断：The latest-20 finance keyword count is misleading because most posts are prediction-market recruitment, promotions and rewards. The account fails the quality and conflict gate for Mango's finance creator pool.
风险/下一步：Prediction/giveaway/airdrop concentration; 'villa by the sea' and certainty-led calls; contracted-platform conflict; content is not finance-research first.；Keep in exclusion library; reconsider only for a tightly scoped entertainment/prediction activation after separate brand-safety review, not as a finance research KOL.</x:v>
      </x:c>
      <x:c r="P80" s="24" t="str">
        <x:v>CN-SS-009</x:v>
      </x:c>
    </x:row>
    <x:row r="81" ht="72" customHeight="1">
      <x:c r="A81" s="24" t="str">
        <x:v>X</x:v>
      </x:c>
      <x:c r="B81" s="24" t="str">
        <x:v>华尔街观察 Xtrader (@cnfinancewatch)</x:v>
      </x:c>
      <x:c r="C81" s="24" t="str">
        <x:v>https://x.com/cnfinancewatch</x:v>
      </x:c>
      <x:c r="D81" s="24" t="n">
        <x:v>126405</x:v>
      </x:c>
      <x:c r="E81" s="24" t="str">
        <x:v>中文</x:v>
      </x:c>
      <x:c r="F81" s="24" t="str">
        <x:v>香港/大中华; 全球/跨境; 美国（内容市场；受众地域为推断）</x:v>
      </x:c>
      <x:c r="G81" s="24" t="str">
        <x:v>美股/市场评论；Trading/options</x:v>
      </x:c>
      <x:c r="H81" s="24" t="str">
        <x:v>独立 KOL / creator</x:v>
      </x:c>
      <x:c r="I81" s="24" t="str">
        <x:v>—</x:v>
      </x:c>
      <x:c r="J81" s="24" t="str">
        <x:v>Reject</x:v>
      </x:c>
      <x:c r="K81" s="24" t="str">
        <x:v>C0｜Excluded — do not contact</x:v>
      </x:c>
      <x:c r="L81" s="24" t="str"/>
      <x:c r="M81" s="24" t="str">
        <x:v>https://xingqiao-advisor.vercel.app</x:v>
      </x:c>
      <x:c r="N81" s="24" t="str">
        <x:v>不联系｜排除库</x:v>
      </x:c>
      <x:c r="O81" s="24" t="str">
        <x:v>定位：Reject
依据：direct audience fit, overridden by brand-safety hard gate；内容 62/100；90天活跃 Yes；E3；核验 2026-09-05T14:00:34.338Z
判断：最新 100 条 X 帖子中反复将‘78%胜率’、‘精准到具体数字’、‘完美抓住每一步’、会员大获利和近似保证性措辞与付费订阅、具体仓位及杠杆建议相邻使用。该重复模式满足严重品牌安全 hard reject；排除原因不是中文、售课、持仓或普通 buy/sell 表达。
风险/下一步：重大品牌安全风险：未经独立核验的胜率/收益营销、近似保证性用语、具体择时与杠杆指令、紧迫订阅 CTA 的反复组合。官网免责声明不能消除 X 营销中的直接冲突。；进入排除库；除非未来删除保证性/精准收益营销、提供可审计业绩口径与完整利益披露，并形成持续改变的公开记录，否则不重新进入建联池。</x:v>
      </x:c>
      <x:c r="P81" s="24" t="str">
        <x:v>CRT-018</x:v>
      </x:c>
    </x:row>
    <x:row r="82" ht="72" customHeight="1">
      <x:c r="A82" s="24" t="str">
        <x:v>X</x:v>
      </x:c>
      <x:c r="B82" s="24" t="str">
        <x:v>交易之刃 / Finding Your Edge (@FindingYourEdg)</x:v>
      </x:c>
      <x:c r="C82" s="24" t="str">
        <x:v>https://x.com/FindingYourEdg</x:v>
      </x:c>
      <x:c r="D82" s="24" t="n">
        <x:v>8244</x:v>
      </x:c>
      <x:c r="E82" s="24" t="str">
        <x:v>中文</x:v>
      </x:c>
      <x:c r="F82" s="24" t="str">
        <x:v>美国; 全球/跨境</x:v>
      </x:c>
      <x:c r="G82" s="24" t="str">
        <x:v>Trading/options；美股/市场评论</x:v>
      </x:c>
      <x:c r="H82" s="24" t="str">
        <x:v>独立 KOL / creator</x:v>
      </x:c>
      <x:c r="I82" s="24" t="str">
        <x:v>—</x:v>
      </x:c>
      <x:c r="J82" s="24" t="str">
        <x:v>Reject</x:v>
      </x:c>
      <x:c r="K82" s="24" t="str">
        <x:v>C1｜Excluded — do not contact</x:v>
      </x:c>
      <x:c r="L82" s="24" t="str"/>
      <x:c r="M82" s="24" t="str">
        <x:v>Discord and YouTube community routes are public, but no separate brand-business route was verified.</x:v>
      </x:c>
      <x:c r="N82" s="24" t="str">
        <x:v>不联系｜排除库</x:v>
      </x:c>
      <x:c r="O82" s="24" t="str">
        <x:v>定位：Reject
依据：direct audience/content fit; root visibility; professional/content authority；内容 18/20；90天活跃 Yes；E3；核验 2026-09-06
判断：Finance relevance and root follows are strong, but repeated extraordinary performance/results claims are used to sell access to paid trading signals and real-time positions. This crosses the commercial hard gate.
风险/下一步：Hard reject: paid-community acquisition is directly combined with a claimed 46% cumulative return, real-time positions/entries, a claimed 32x MRNA LEAP result …；Exclude from outreach. Reconsider only after performance-led acquisition and paid signal claims stop, auditable methodology/conflicts are disclosed and a sustained changed public …</x:v>
      </x:c>
      <x:c r="P82" s="24" t="str">
        <x:v>CN-X2-010</x:v>
      </x:c>
    </x:row>
    <x:row r="83" ht="72" customHeight="1">
      <x:c r="A83" s="24" t="str">
        <x:v>X</x:v>
      </x:c>
      <x:c r="B83" s="24" t="str">
        <x:v>猎手killer (@memekiller365)</x:v>
      </x:c>
      <x:c r="C83" s="24" t="str">
        <x:v>https://x.com/memekiller365</x:v>
      </x:c>
      <x:c r="D83" s="24" t="n">
        <x:v>26863</x:v>
      </x:c>
      <x:c r="E83" s="24" t="str">
        <x:v>中文</x:v>
      </x:c>
      <x:c r="F83" s="24" t="str">
        <x:v>中国内地; 香港/大中华; 全球/跨境; 美国（内容市场）</x:v>
      </x:c>
      <x:c r="G83" s="24" t="str">
        <x:v>美股/市场评论；Trading/options; Crypto × Equity/新金融</x:v>
      </x:c>
      <x:c r="H83" s="24" t="str">
        <x:v>独立 KOL / creator</x:v>
      </x:c>
      <x:c r="I83" s="24" t="str">
        <x:v>—</x:v>
      </x:c>
      <x:c r="J83" s="24" t="str">
        <x:v>Reject</x:v>
      </x:c>
      <x:c r="K83" s="24" t="str">
        <x:v>C2｜Excluded — do not contact</x:v>
      </x:c>
      <x:c r="L83" s="24" t="str"/>
      <x:c r="M83" s="24" t="str">
        <x:v>Publicly invites projects and exchanges to DM; owned paid community and tools are also public.</x:v>
      </x:c>
      <x:c r="N83" s="24" t="str">
        <x:v>不联系｜排除库</x:v>
      </x:c>
      <x:c r="O83" s="24" t="str">
        <x:v>定位：Direct bridge creator / creator-led paid community
依据：direct audience/content fit; self-owned community; sponsor adjacency；内容 7/20；90天活跃 Yes；E3；核验 2026-09-06
判断：The current evidence is sufficient for exclusion: recent public posts say Chinese AI stocks will definitely surge and that named stocks doubled/will continue rising, combining performance-led claims with paid-community and platform promotion.
风险/下一步：Repeated deterministic pump language and near-term price promises; self-owned paid investing community; options/trading calls; post-alert StableStock promotion.；Keep in exclusion library; reconsider only after sustained removal of deterministic return claims, auditable disclosures and materially changed public content.</x:v>
      </x:c>
      <x:c r="P83" s="24" t="str">
        <x:v>CN-SS-003</x:v>
      </x:c>
    </x:row>
    <x:row r="84" ht="72" customHeight="1">
      <x:c r="A84" s="24" t="str">
        <x:v>X</x:v>
      </x:c>
      <x:c r="B84" s="24" t="str">
        <x:v>欧阳拽白</x:v>
      </x:c>
      <x:c r="C84" s="24" t="str">
        <x:v>https://x.com/OuYangZhuaiBai</x:v>
      </x:c>
      <x:c r="D84" s="24" t="n">
        <x:v>47609</x:v>
      </x:c>
      <x:c r="E84" s="24" t="str">
        <x:v>中文; 英文</x:v>
      </x:c>
      <x:c r="F84" s="24" t="str">
        <x:v>中国内地; 香港/大中华; 全球/跨境</x:v>
      </x:c>
      <x:c r="G84" s="24" t="str">
        <x:v>Crypto × Equity/新金融；Trading/options</x:v>
      </x:c>
      <x:c r="H84" s="24" t="str">
        <x:v>独立 KOL / creator</x:v>
      </x:c>
      <x:c r="I84" s="24" t="str">
        <x:v>—</x:v>
      </x:c>
      <x:c r="J84" s="24" t="str">
        <x:v>Reject</x:v>
      </x:c>
      <x:c r="K84" s="24" t="str">
        <x:v>C0｜Excluded — do not contact</x:v>
      </x:c>
      <x:c r="L84" s="24" t="str"/>
      <x:c r="M84" s="24" t="str">
        <x:v>No public business contact observed; excluded from outreach.</x:v>
      </x:c>
      <x:c r="N84" s="24" t="str">
        <x:v>不联系｜排除库</x:v>
      </x:c>
      <x:c r="O84" s="24" t="str">
        <x:v>定位：Reject
依据：直接受众匹配; 专业权威与内容可信度; root visibility; 历史 sponsor/商业证据；内容 2/20；90天活跃 Yes；E3；核验 2026-09-06T01:55:57.475Z
判断：Seven root follow edges make this account visible inside the network, but visibility alone is not creator qualification. The current content window does not support a finance-bridge role.
风险/下一步：Current content-lane mismatch: only 2/20 chronological posts and 6/20 original/quote posts directly match finance lanes; no business route.；Exclude from creator pool; reconsider only after a sustained finance-first content shift.</x:v>
      </x:c>
      <x:c r="P84" s="24" t="str">
        <x:v>CN-X4-011</x:v>
      </x:c>
    </x:row>
    <x:row r="85" ht="72" customHeight="1">
      <x:c r="A85" s="24" t="str">
        <x:v>X</x:v>
      </x:c>
      <x:c r="B85" s="24" t="str">
        <x:v>Bill The Investor (@billtheinvestor)</x:v>
      </x:c>
      <x:c r="C85" s="24" t="str">
        <x:v>https://x.com/billtheinvestor</x:v>
      </x:c>
      <x:c r="D85" s="24" t="n">
        <x:v>118342</x:v>
      </x:c>
      <x:c r="E85" s="24" t="str">
        <x:v>中文</x:v>
      </x:c>
      <x:c r="F85" s="24" t="str">
        <x:v>加拿大; 全球/跨境</x:v>
      </x:c>
      <x:c r="G85" s="24" t="str">
        <x:v>Crypto × Equity/新金融；Fintech/AI Finance</x:v>
      </x:c>
      <x:c r="H85" s="24" t="str">
        <x:v>独立 KOL / creator</x:v>
      </x:c>
      <x:c r="I85" s="24" t="str">
        <x:v>—</x:v>
      </x:c>
      <x:c r="J85" s="24" t="str">
        <x:v>Reject</x:v>
      </x:c>
      <x:c r="K85" s="24" t="str">
        <x:v>C0｜Excluded — do not contact</x:v>
      </x:c>
      <x:c r="L85" s="24" t="str"/>
      <x:c r="M85" s="24" t="str">
        <x:v>No creator-authorized brand route was observed; the profile explicitly states there is no paid group.</x:v>
      </x:c>
      <x:c r="N85" s="24" t="str">
        <x:v>不联系｜排除库</x:v>
      </x:c>
      <x:c r="O85" s="24" t="str">
        <x:v>定位：Reject
依据：direct audience/content fit; root visibility; professional/content authority；内容 2/20；90天活跃 Yes；E3；核验 2026-09-06
判断：Mutual follows with PhyrexNi and xiaomustock create a strong visibility signal, but the current feed no longer matches the finance lanes and the tone is unsuitable for mainstream brand activation. Root relationship is not an approval gate.
风险/下一步：The latest 20 are dominated by Canadian local politics and confrontational political commentary, not finance. Hostile and demeaning language creates brand-safe…；Keep in the exclusion library. Reconsider only for a narrowly matched Canadian civic brief, outside the current finance-creator pool, after a separate safety review.</x:v>
      </x:c>
      <x:c r="P85" s="24" t="str">
        <x:v>CN-X3-007</x:v>
      </x:c>
    </x:row>
    <x:row r="86" ht="72" customHeight="1">
      <x:c r="A86" s="24" t="str">
        <x:v>X</x:v>
      </x:c>
      <x:c r="B86" s="24" t="str">
        <x:v>Block Tiger</x:v>
      </x:c>
      <x:c r="C86" s="24" t="str">
        <x:v>https://x.com/0XTiger666</x:v>
      </x:c>
      <x:c r="D86" s="24" t="n">
        <x:v>12038</x:v>
      </x:c>
      <x:c r="E86" s="24" t="str">
        <x:v>中文</x:v>
      </x:c>
      <x:c r="F86" s="24" t="str">
        <x:v>中国内地; 香港/大中华; 全球/跨境</x:v>
      </x:c>
      <x:c r="G86" s="24" t="str">
        <x:v>Crypto × Equity/新金融；美股/市场评论</x:v>
      </x:c>
      <x:c r="H86" s="24" t="str">
        <x:v>独立 KOL / creator</x:v>
      </x:c>
      <x:c r="I86" s="24" t="str">
        <x:v>—</x:v>
      </x:c>
      <x:c r="J86" s="24" t="str">
        <x:v>Reject</x:v>
      </x:c>
      <x:c r="K86" s="24" t="str">
        <x:v>C0｜Excluded — do not contact</x:v>
      </x:c>
      <x:c r="L86" s="24" t="str"/>
      <x:c r="M86" s="24" t="str">
        <x:v>No public business contact observed; excluded from outreach.</x:v>
      </x:c>
      <x:c r="N86" s="24" t="str">
        <x:v>不联系｜排除库</x:v>
      </x:c>
      <x:c r="O86" s="24" t="str">
        <x:v>定位：Reject
依据：直接受众匹配; 专业权威与内容可信度; root visibility; 历史 sponsor/商业证据；内容 1/20；90天活跃 Yes；E3；核验 2026-09-06T01:55:57.475Z
判断：The current chronological window is overwhelmingly gossip/personal commentary and contains repeated gendered insults and direct abuse. Historical finance expertise and six observed root follow edges do not override current content and brand-safety failure.
风险/下一步：Severe brand-safety: repeated misogynistic framing, abusive language and gossip-heavy current feed; only 1/20 latest posts directly relevant to a finance lane.；Exclude. Reconsider only after a sustained finance-first window and material brand-safety change.</x:v>
      </x:c>
      <x:c r="P86" s="24" t="str">
        <x:v>CN-X4-004</x:v>
      </x:c>
    </x:row>
    <x:row r="87" ht="72" customHeight="1">
      <x:c r="A87" s="24" t="str">
        <x:v>X</x:v>
      </x:c>
      <x:c r="B87" s="24" t="str">
        <x:v>Bruce J / MSX / MMEETT AI (@BTCBruce1)</x:v>
      </x:c>
      <x:c r="C87" s="24" t="str">
        <x:v>https://x.com/BTCBruce1</x:v>
      </x:c>
      <x:c r="D87" s="24" t="n">
        <x:v>167156</x:v>
      </x:c>
      <x:c r="E87" s="24" t="str">
        <x:v>中文</x:v>
      </x:c>
      <x:c r="F87" s="24" t="str">
        <x:v>美国; 香港/大中华; 全球/跨境</x:v>
      </x:c>
      <x:c r="G87" s="24" t="str">
        <x:v>Crypto × Equity/新金融；Fintech/AI Finance; 美股/市场评论</x:v>
      </x:c>
      <x:c r="H87" s="24" t="str">
        <x:v>独立 KOL / creator</x:v>
      </x:c>
      <x:c r="I87" s="24" t="str">
        <x:v>—</x:v>
      </x:c>
      <x:c r="J87" s="24" t="str">
        <x:v>Reject</x:v>
      </x:c>
      <x:c r="K87" s="24" t="str">
        <x:v>C1｜Excluded — do not contact</x:v>
      </x:c>
      <x:c r="L87" s="24" t="str"/>
      <x:c r="M87" s="24" t="str">
        <x:v>MSX publishes info@msx.com for partnership applications, but that is an owned-company route and not evidence that Bruce accepts third-party creator campaigns.</x:v>
      </x:c>
      <x:c r="N87" s="24" t="str">
        <x:v>不联系｜排除库</x:v>
      </x:c>
      <x:c r="O87" s="24" t="str">
        <x:v>定位：Reject — creator activation; relationship evidence retained
依据：direct audience/content fit; root visibility; observed interaction bridge；内容 9/20；90天活跃 Yes；E3；核验 2026-09-06
判断：Five root-follow edges and repeated two-way direct interactions with PhyrexNi/xiaomustock make Bruce a real interaction node. However, the product-acquisition and performance pattern crosses the commercial hard gate. Relationship edges remain useful for disco…
风险/下一步：Hard reject for creator activation: owned Pre-IPO/token product promotion combines scarcity/first-come allocation, '大概率稳赚', low-entry acquisition, very high le…；Exclude from creator outreach and store MSX as a conflicted owned-company adjacency, not a supplier roster. Reconsider only after a sustained change in performance/urgency marketi…</x:v>
      </x:c>
      <x:c r="P87" s="24" t="str">
        <x:v>CN-X3-009</x:v>
      </x:c>
    </x:row>
    <x:row r="88" ht="72" customHeight="1">
      <x:c r="A88" s="24" t="str">
        <x:v>X</x:v>
      </x:c>
      <x:c r="B88" s="24" t="str">
        <x:v>Calvin T. (@calvintsaikm)</x:v>
      </x:c>
      <x:c r="C88" s="24" t="str">
        <x:v>https://x.com/calvintsaikm</x:v>
      </x:c>
      <x:c r="D88" s="24" t="n">
        <x:v>19894</x:v>
      </x:c>
      <x:c r="E88" s="24" t="str">
        <x:v>英文; 中文</x:v>
      </x:c>
      <x:c r="F88" s="24" t="str">
        <x:v>香港/大中华; 全球/跨境</x:v>
      </x:c>
      <x:c r="G88" s="24" t="str">
        <x:v>Crypto × Equity/新金融；Trading/options</x:v>
      </x:c>
      <x:c r="H88" s="24" t="str">
        <x:v>独立 KOL / creator</x:v>
      </x:c>
      <x:c r="I88" s="24" t="str">
        <x:v>—</x:v>
      </x:c>
      <x:c r="J88" s="24" t="str">
        <x:v>Reject</x:v>
      </x:c>
      <x:c r="K88" s="24" t="str">
        <x:v>C0｜Excluded — do not contact</x:v>
      </x:c>
      <x:c r="L88" s="24" t="str"/>
      <x:c r="M88" s="24" t="str">
        <x:v>No creator-authorized brand-business route was observed. The profile-linked hkptrc.com identity and commercial authority remain unverified.</x:v>
      </x:c>
      <x:c r="N88" s="24" t="str">
        <x:v>不联系｜排除库</x:v>
      </x:c>
      <x:c r="O88" s="24" t="str">
        <x:v>定位：Reject
依据：direct audience/content fit; root visibility; professional/content authority；内容 1/1；90天活跃 Yes；E2；核验 2026-09-06
判断：Three root-follow edges create a visibility signal, but there is no direct interaction, current content depth or business route. The rejection is based on sparse current supply plus material historical trading-risk evidence, not geography or lack of US audien…
风险/下一步：Only one authored item was observed inside 90 days. The profile makes unverified top-10 CEX and very large turnover claims; older posts describe total liquidat…；Keep excluded from current sourcing. Reconsider only after sustained recent research, independently supportable credentials and a creator-authorized brand route.</x:v>
      </x:c>
      <x:c r="P88" s="24" t="str">
        <x:v>CN-X3-005</x:v>
      </x:c>
    </x:row>
    <x:row r="89" ht="72" customHeight="1">
      <x:c r="A89" s="24" t="str">
        <x:v>X</x:v>
      </x:c>
      <x:c r="B89" s="24" t="str">
        <x:v>CJ_Blockchain, CFA (@nbblock)</x:v>
      </x:c>
      <x:c r="C89" s="24" t="str">
        <x:v>https://x.com/nbblock</x:v>
      </x:c>
      <x:c r="D89" s="24" t="n">
        <x:v>14897</x:v>
      </x:c>
      <x:c r="E89" s="24" t="str">
        <x:v>中文</x:v>
      </x:c>
      <x:c r="F89" s="24" t="str">
        <x:v>中国内地; 香港/大中华; 全球/跨境; 美国（内容市场）</x:v>
      </x:c>
      <x:c r="G89" s="24" t="str">
        <x:v>Crypto × Equity/新金融；美股/市场评论; Fintech/AI Finance</x:v>
      </x:c>
      <x:c r="H89" s="24" t="str">
        <x:v>独立 KOL / creator</x:v>
      </x:c>
      <x:c r="I89" s="24" t="str">
        <x:v>—</x:v>
      </x:c>
      <x:c r="J89" s="24" t="str">
        <x:v>Reject</x:v>
      </x:c>
      <x:c r="K89" s="24" t="str">
        <x:v>C0｜Excluded — do not contact</x:v>
      </x:c>
      <x:c r="L89" s="24" t="str"/>
      <x:c r="M89" s="24" t="str">
        <x:v>Public Telegram is an owned audience/community route, not a verified brand-booking route.</x:v>
      </x:c>
      <x:c r="N89" s="24" t="str">
        <x:v>不联系｜排除库</x:v>
      </x:c>
      <x:c r="O89" s="24" t="str">
        <x:v>定位：Direct bridge creator / research-channel owner
依据：direct audience/content fit; self-owned research channel; sponsor adjacency；内容 10/20；90天活跃 Yes；E3；核验 2026-09-06
判断：Despite substantive finance research, the explicit near-risk-free 192.5% annualized claim crosses the severe performance-promise gate and is incompatible with brand-safe paid creator work.
风险/下一步：Promoted an 'almost risk-free 192.5% annualized' leveraged/funding-rate trade with urgency and referral linkage; post-alert StableStock promotion; token/meme h…；Keep in exclusion library; reconsider only after sustained removal/correction of extraordinary low-risk return claims and stronger disclosure controls.</x:v>
      </x:c>
      <x:c r="P89" s="24" t="str">
        <x:v>CN-SS-004</x:v>
      </x:c>
    </x:row>
    <x:row r="90" ht="72" customHeight="1">
      <x:c r="A90" s="24" t="str">
        <x:v>X</x:v>
      </x:c>
      <x:c r="B90" s="24" t="str">
        <x:v>dd滴滴.base.eth (@rtk17025)</x:v>
      </x:c>
      <x:c r="C90" s="24" t="str">
        <x:v>https://x.com/rtk17025</x:v>
      </x:c>
      <x:c r="D90" s="24" t="n">
        <x:v>41227</x:v>
      </x:c>
      <x:c r="E90" s="24" t="str">
        <x:v>中文; 英文; 越南语（观察到）</x:v>
      </x:c>
      <x:c r="F90" s="24" t="str">
        <x:v>全球/跨境; 香港/大中华</x:v>
      </x:c>
      <x:c r="G90" s="24" t="str">
        <x:v>Crypto × Equity/新金融</x:v>
      </x:c>
      <x:c r="H90" s="24" t="str">
        <x:v>独立 KOL / creator</x:v>
      </x:c>
      <x:c r="I90" s="24" t="str">
        <x:v>—</x:v>
      </x:c>
      <x:c r="J90" s="24" t="str">
        <x:v>Reject</x:v>
      </x:c>
      <x:c r="K90" s="24" t="str">
        <x:v>C2｜Excluded — do not contact</x:v>
      </x:c>
      <x:c r="L90" s="24" t="str"/>
      <x:c r="M90" s="24" t="str">
        <x:v>Profile says full-time BD for o1_exchange, cofounder of GMWallet and open for collaborations.</x:v>
      </x:c>
      <x:c r="N90" s="24" t="str">
        <x:v>不联系｜排除库</x:v>
      </x:c>
      <x:c r="O90" s="24" t="str">
        <x:v>定位：Crypto BD / promotional creator
依据：public collaboration openness; fintech/platform BD adjacency；内容 6/20；90天活跃 Yes；E3；核验 2026-09-06
判断：This is primarily an ecosystem BD/promotional role, not an independent finance research creator or a verified supplier/manager. Commercial openness does not cure role conflict and quality mismatch.
风险/下一步：Full-time exchange BD role creates material conflict; highly promotional crypto/platform mix; extraordinary acquisition language; post-alert StableStock promot…；Keep excluded as a creator candidate. Do not recast as agency/supplier without verified finance roster and authority to quote other creators.</x:v>
      </x:c>
      <x:c r="P90" s="24" t="str">
        <x:v>CN-SS-010</x:v>
      </x:c>
    </x:row>
    <x:row r="91" ht="72" customHeight="1">
      <x:c r="A91" s="24" t="str">
        <x:v>X</x:v>
      </x:c>
      <x:c r="B91" s="24" t="str">
        <x:v>Diyaaa (@0xDiyaaa)</x:v>
      </x:c>
      <x:c r="C91" s="24" t="str">
        <x:v>https://x.com/0xDiyaaa</x:v>
      </x:c>
      <x:c r="D91" s="24" t="n">
        <x:v>8139</x:v>
      </x:c>
      <x:c r="E91" s="24" t="str">
        <x:v>中文; 英文</x:v>
      </x:c>
      <x:c r="F91" s="24" t="str">
        <x:v>全球/跨境; 香港/大中华</x:v>
      </x:c>
      <x:c r="G91" s="24" t="str">
        <x:v>Crypto × Equity/新金融</x:v>
      </x:c>
      <x:c r="H91" s="24" t="str">
        <x:v>独立 KOL / creator</x:v>
      </x:c>
      <x:c r="I91" s="24" t="str">
        <x:v>—</x:v>
      </x:c>
      <x:c r="J91" s="24" t="str">
        <x:v>Reject</x:v>
      </x:c>
      <x:c r="K91" s="24" t="str">
        <x:v>C0｜Excluded — do not contact</x:v>
      </x:c>
      <x:c r="L91" s="24" t="str"/>
      <x:c r="M91" s="24" t="str">
        <x:v>No creator-authorized brand route observed.</x:v>
      </x:c>
      <x:c r="N91" s="24" t="str">
        <x:v>不联系｜排除库</x:v>
      </x:c>
      <x:c r="O91" s="24" t="str">
        <x:v>定位：Direct bridge creator
依据：sponsor adjacency; crypto audience fit；内容 12/20；90天活跃 Yes；E3；核验 2026-09-06
判断：Automated keyword hits overstate fit. The account is primarily Web3/NFT/project promotion and does not provide enough finance-first analysis or a commercial route to justify inclusion.
风险/下一步：Crypto/NFT/project-promotion orientation; leveraged-product adjacency; post-alert StableStock promotion.；Keep in exclusion library for the current finance creator pool; reconsider only if sustained finance/RWA research becomes the dominant public output.</x:v>
      </x:c>
      <x:c r="P91" s="24" t="str">
        <x:v>CN-SS-007</x:v>
      </x:c>
    </x:row>
    <x:row r="92" ht="72" customHeight="1">
      <x:c r="A92" s="24" t="str">
        <x:v>X</x:v>
      </x:c>
      <x:c r="B92" s="24" t="str">
        <x:v>Eva 树姐 (@EvaCmore)</x:v>
      </x:c>
      <x:c r="C92" s="24" t="str">
        <x:v>https://x.com/EvaCmore</x:v>
      </x:c>
      <x:c r="D92" s="24" t="n">
        <x:v>72536</x:v>
      </x:c>
      <x:c r="E92" s="24" t="str">
        <x:v>中文</x:v>
      </x:c>
      <x:c r="F92" s="24" t="str">
        <x:v>中国内地; 香港/大中华; 全球/跨境; 美国（内容市场）</x:v>
      </x:c>
      <x:c r="G92" s="24" t="str">
        <x:v>Crypto × Equity/新金融；Fintech/AI Finance</x:v>
      </x:c>
      <x:c r="H92" s="24" t="str">
        <x:v>独立 KOL / creator</x:v>
      </x:c>
      <x:c r="I92" s="24" t="str">
        <x:v>—</x:v>
      </x:c>
      <x:c r="J92" s="24" t="str">
        <x:v>Reject</x:v>
      </x:c>
      <x:c r="K92" s="24" t="str">
        <x:v>C3｜Excluded — do not contact</x:v>
      </x:c>
      <x:c r="L92" s="24" t="str"/>
      <x:c r="M92" s="24" t="str">
        <x:v>Profile explicitly gives Telegram @treeeva for collaborations.</x:v>
      </x:c>
      <x:c r="N92" s="24" t="str">
        <x:v>不联系｜排除库</x:v>
      </x:c>
      <x:c r="O92" s="24" t="str">
        <x:v>定位：Direct bridge creator
依据：public business route; sponsor/affiliate history; direct audience fit；内容 7/20；90天活跃 Yes；E3；核验 2026-09-06
判断：A real commercial route exists, but content quality and brand safety fail: only 7/20 automated finance hits, repeated acquisition links, and gambling/return-oriented framing outweigh the route value.
风险/下一步：Latest content is heavily promotional and lifestyle/crypto rather than finance-first; casino-style participation framed through claimed higher win rate; multip…；Keep in exclusion library; do not treat a business contact as qualification. Reconsider only after a sustained finance-first, lower-conflict content record.</x:v>
      </x:c>
      <x:c r="P92" s="24" t="str">
        <x:v>CN-SS-006</x:v>
      </x:c>
    </x:row>
    <x:row r="93" ht="72" customHeight="1">
      <x:c r="A93" s="24" t="str">
        <x:v>X</x:v>
      </x:c>
      <x:c r="B93" s="24" t="str">
        <x:v>Financelot (@FinanceLancelot)</x:v>
      </x:c>
      <x:c r="C93" s="24" t="str">
        <x:v>https://x.com/FinanceLancelot</x:v>
      </x:c>
      <x:c r="D93" s="24" t="n">
        <x:v>360958</x:v>
      </x:c>
      <x:c r="E93" s="24" t="str">
        <x:v>英文</x:v>
      </x:c>
      <x:c r="F93" s="24" t="str">
        <x:v>美国; 全球/跨境</x:v>
      </x:c>
      <x:c r="G93" s="24" t="str">
        <x:v>美股/市场评论</x:v>
      </x:c>
      <x:c r="H93" s="24" t="str">
        <x:v>独立 KOL / creator</x:v>
      </x:c>
      <x:c r="I93" s="24" t="str">
        <x:v>—</x:v>
      </x:c>
      <x:c r="J93" s="24" t="str">
        <x:v>Reject</x:v>
      </x:c>
      <x:c r="K93" s="24" t="str">
        <x:v>C0｜Excluded — do not contact</x:v>
      </x:c>
      <x:c r="L93" s="24" t="str"/>
      <x:c r="M93" s="24" t="str">
        <x:v>The profile promotes an X subscription/coffee-style support only; no brand-business route was verified.</x:v>
      </x:c>
      <x:c r="N93" s="24" t="str">
        <x:v>不联系｜排除库</x:v>
      </x:c>
      <x:c r="O93" s="24" t="str">
        <x:v>定位：Reject
依据：direct audience/content fit; root visibility; observed interaction bridge；内容 2/20；90天活跃 Yes；E3；核验 2026-09-06
判断：Two roots follow the account and one direct reply/mention to xiaomustock was observed, but the current feed is not finance-first, is reply-heavy and has weak median interaction. Root signals do not overcome current content and brand-safety failure.
风险/下一步：The latest 20 authored items are dominated by political, demographic and argumentative replies; only about two are directly finance-lane relevant. Repeated acc…；Keep in the exclusion library to prevent rediscovery. Reconsider only after a sustained finance-first, brand-safe original-content record and a valid business route.</x:v>
      </x:c>
      <x:c r="P93" s="24" t="str">
        <x:v>CN-X3-003</x:v>
      </x:c>
    </x:row>
    <x:row r="94" ht="72" customHeight="1">
      <x:c r="A94" s="24" t="str">
        <x:v>X</x:v>
      </x:c>
      <x:c r="B94" s="24" t="str">
        <x:v>Global Markets Investor (@GlobalMktObserv)</x:v>
      </x:c>
      <x:c r="C94" s="24" t="str">
        <x:v>https://x.com/GlobalMktObserv</x:v>
      </x:c>
      <x:c r="D94" s="24" t="n">
        <x:v>94109</x:v>
      </x:c>
      <x:c r="E94" s="24" t="str">
        <x:v>English</x:v>
      </x:c>
      <x:c r="F94" s="24" t="str">
        <x:v>美国; 全球/跨境</x:v>
      </x:c>
      <x:c r="G94" s="24" t="str">
        <x:v>美股/市场评论；Retail investing; Fintech/AI Finance</x:v>
      </x:c>
      <x:c r="H94" s="24" t="str">
        <x:v>独立 KOL / creator</x:v>
      </x:c>
      <x:c r="I94" s="24" t="str">
        <x:v>Do not contact</x:v>
      </x:c>
      <x:c r="J94" s="24" t="str">
        <x:v>Reject</x:v>
      </x:c>
      <x:c r="K94" s="24" t="str">
        <x:v>C2｜Excluded — do not contact or request placement</x:v>
      </x:c>
      <x:c r="L94" s="24" t="str"/>
      <x:c r="M94" s="24" t="str">
        <x:v>Beehiiv Ad Network is an observed distribution route, not a direct creator contact; the creator is excluded from outreach.</x:v>
      </x:c>
      <x:c r="N94" s="24" t="str">
        <x:v>不联系｜排除库</x:v>
      </x:c>
      <x:c r="O94" s="24" t="str">
        <x:v>定位：Global macro/equity newsletter/media bridge
依据：direct audience/content fit; root visibility; professional/content authority；内容 18/20；90天活跃 Yes；E3；核验 2026-09-06
判断：The new first-party evidence reverses the earlier approval. A disclosed paid advertisement for a Regulation A+ securities offering is one of the project's explicit severe-risk hard rejects; disclosure improves evidence quality but does not remove the category…
风险/下一步：Hard reject: paid promotion of a securities issuer/Regulation A+ offering. The same page also places the publication's unverified '+100% since January 2024' po…；Add to the active exclusion library and do not contact. Reconsider only if the project hard gate changes or a sustained record demonstrates that paid issuer promotion has ended wi…</x:v>
      </x:c>
      <x:c r="P94" s="24" t="str">
        <x:v>CN-X2-008</x:v>
      </x:c>
    </x:row>
    <x:row r="95" ht="72" customHeight="1">
      <x:c r="A95" s="24" t="str">
        <x:v>X</x:v>
      </x:c>
      <x:c r="B95" s="24" t="str">
        <x:v>John / 加密大聪明 (@0xxsmart)</x:v>
      </x:c>
      <x:c r="C95" s="24" t="str">
        <x:v>https://x.com/0xxsmart</x:v>
      </x:c>
      <x:c r="D95" s="24" t="n">
        <x:v>14184</x:v>
      </x:c>
      <x:c r="E95" s="24" t="str">
        <x:v>中文</x:v>
      </x:c>
      <x:c r="F95" s="24" t="str">
        <x:v>香港/大中华; 全球/跨境</x:v>
      </x:c>
      <x:c r="G95" s="24" t="str">
        <x:v>Crypto × Equity/新金融；Fintech/AI Finance</x:v>
      </x:c>
      <x:c r="H95" s="24" t="str">
        <x:v>独立 KOL / creator</x:v>
      </x:c>
      <x:c r="I95" s="24" t="str">
        <x:v>—</x:v>
      </x:c>
      <x:c r="J95" s="24" t="str">
        <x:v>Reject</x:v>
      </x:c>
      <x:c r="K95" s="24" t="str">
        <x:v>C2｜Verified public route; campaign acceptance/terms unverified</x:v>
      </x:c>
      <x:c r="L95" s="24" t="str"/>
      <x:c r="M95" s="24" t="str">
        <x:v>Profile explicitly invites KOL/community cooperation through X DM.</x:v>
      </x:c>
      <x:c r="N95" s="24" t="str">
        <x:v>不联系｜排除库</x:v>
      </x:c>
      <x:c r="O95" s="24" t="str">
        <x:v>定位：Reject
依据：direct audience fit; professional/content authority；内容 11/16；90天活跃 Yes；E3；核验 2026-09-06
判断：A usable DM route cannot compensate for insufficient recent original finance output and promotion-heavy current positioning. This is a current-fit rejection, not a claim of permanent unfitness.
风险/下一步：Only four original non-reply/non-repost posts in the full 90-day window; 12 of 16 were reposts, with current output dominated by crypto/tokenized-stock promoti…；Keep in the exclusion library and reconsider only after a sustained new run of original finance research.</x:v>
      </x:c>
      <x:c r="P95" s="24" t="str">
        <x:v>CN-X-006</x:v>
      </x:c>
    </x:row>
    <x:row r="96" ht="72" customHeight="1">
      <x:c r="A96" s="24" t="str">
        <x:v>X</x:v>
      </x:c>
      <x:c r="B96" s="24" t="str">
        <x:v>Kova (@kovainvest)</x:v>
      </x:c>
      <x:c r="C96" s="24" t="str">
        <x:v>https://x.com/kovainvest</x:v>
      </x:c>
      <x:c r="D96" s="24" t="n">
        <x:v>18774</x:v>
      </x:c>
      <x:c r="E96" s="24" t="str">
        <x:v>中文; 英文</x:v>
      </x:c>
      <x:c r="F96" s="24" t="str">
        <x:v>美国（内容市场）; 香港/大中华; 全球/跨境</x:v>
      </x:c>
      <x:c r="G96" s="24" t="str">
        <x:v>Trading/options；美股/市场评论; Retail investing</x:v>
      </x:c>
      <x:c r="H96" s="24" t="str">
        <x:v>独立 KOL / creator</x:v>
      </x:c>
      <x:c r="I96" s="24" t="str">
        <x:v>—</x:v>
      </x:c>
      <x:c r="J96" s="24" t="str">
        <x:v>Reject</x:v>
      </x:c>
      <x:c r="K96" s="24" t="str">
        <x:v>C2｜Verified public route; campaign acceptance/terms unverified</x:v>
      </x:c>
      <x:c r="L96" s="24" t="str"/>
      <x:c r="M96" s="24" t="str">
        <x:v>admin@kovai.ca; kova@kovaview.com; https://www.kovai.ca/contact</x:v>
      </x:c>
      <x:c r="N96" s="24" t="str">
        <x:v>不联系｜排除库</x:v>
      </x:c>
      <x:c r="O96" s="24" t="str">
        <x:v>定位：Reject
依据：direct audience fit; professional/content authority; root visibility/interaction；内容 248/405；90天活跃 Yes；E3；核验 2026-09-06
判断：The stock research is substantive and the direct route is executable, but repeated stable/high-return acquisition claims attached to paid real-time signals cross the supplier-brand hard gate. Content quality does not offset this risk.
风险/下一步：Hard reject: repeated stable/high-return acquisition claims are directly combined with paid real-time signals and training. Official pages state 70% annual ret…；Exclude from outreach. Reconsider only after stable/high-return acquisition claims are removed, an auditable performance methodology and conflicts are disclosed, and a sustained c…</x:v>
      </x:c>
      <x:c r="P96" s="24" t="str">
        <x:v>CN-X-002</x:v>
      </x:c>
    </x:row>
    <x:row r="97" ht="72" customHeight="1">
      <x:c r="A97" s="24" t="str">
        <x:v>X</x:v>
      </x:c>
      <x:c r="B97" s="24" t="str">
        <x:v>Michael的美投日记 (@Michael_QQQ2025)</x:v>
      </x:c>
      <x:c r="C97" s="24" t="str">
        <x:v>https://x.com/Michael_QQQ2025</x:v>
      </x:c>
      <x:c r="D97" s="24" t="n">
        <x:v>4619</x:v>
      </x:c>
      <x:c r="E97" s="24" t="str">
        <x:v>中文</x:v>
      </x:c>
      <x:c r="F97" s="24" t="str">
        <x:v>香港/大中华; 美国（内容市场）; 全球/跨境</x:v>
      </x:c>
      <x:c r="G97" s="24" t="str">
        <x:v>Trading/options; 美股/市场评论；Crypto × Equity/新金融</x:v>
      </x:c>
      <x:c r="H97" s="24" t="str">
        <x:v>独立 KOL / creator</x:v>
      </x:c>
      <x:c r="I97" s="24" t="str">
        <x:v>—</x:v>
      </x:c>
      <x:c r="J97" s="24" t="str">
        <x:v>Reject</x:v>
      </x:c>
      <x:c r="K97" s="24" t="str">
        <x:v>C0｜Excluded — do not contact</x:v>
      </x:c>
      <x:c r="L97" s="24" t="str"/>
      <x:c r="M97" s="24" t="str">
        <x:v>No verified brand business route; profile lists a gated WeChat group only</x:v>
      </x:c>
      <x:c r="N97" s="24" t="str">
        <x:v>不联系｜排除库</x:v>
      </x:c>
      <x:c r="O97" s="24" t="str">
        <x:v>定位：Reject
依据：root visibility; direct audience fit; high-frequency trading content — overridden by brand-safety gate；内容 347/435；90天活跃 Yes；E3；核验 2026-09-05T13:35:48.034Z
判断：完整 90 天窗口取得 435 条帖子，347 条命中金融/交易关键词，但可见互动中位数仅 3。多次未经独立核验的超常收益宣称与课程/社群招募相邻，已从一般风险标签升级为商业 hard reject；Ming-Chi Kuo 的单向 follow 只支持 visibility，不能抵消该风险。
风险/下一步：重大可信度与品牌安全风险：多次宣称约 240%–350% 的个人/账户收益、40% 期权收益及‘高确定/高胜率’，并邻接课程、学生、社区招募；未提供可审计业绩口径。‘无风险收益率’命中为宏观术语误报，不据此声称保证收益。；进入排除库，不建联。只有未来提供可审计业绩口径、完整利益披露，并出现持续且显著改变的公开内容记录时才重审。</x:v>
      </x:c>
      <x:c r="P97" s="24" t="str">
        <x:v>CN-CRE-008</x:v>
      </x:c>
    </x:row>
    <x:row r="98" ht="72" customHeight="1">
      <x:c r="A98" s="24" t="str">
        <x:v>X</x:v>
      </x:c>
      <x:c r="B98" s="24" t="str">
        <x:v>RJC (@RJCcapital)</x:v>
      </x:c>
      <x:c r="C98" s="24" t="str">
        <x:v>https://x.com/RJCcapital</x:v>
      </x:c>
      <x:c r="D98" s="24" t="n">
        <x:v>49777</x:v>
      </x:c>
      <x:c r="E98" s="24" t="str">
        <x:v>English</x:v>
      </x:c>
      <x:c r="F98" s="24" t="str">
        <x:v>美国; 全球/跨境</x:v>
      </x:c>
      <x:c r="G98" s="24" t="str">
        <x:v>美股/市场评论；Fintech/AI Finance</x:v>
      </x:c>
      <x:c r="H98" s="24" t="str">
        <x:v>独立 KOL / creator</x:v>
      </x:c>
      <x:c r="I98" s="24" t="str">
        <x:v>—</x:v>
      </x:c>
      <x:c r="J98" s="24" t="str">
        <x:v>Reject</x:v>
      </x:c>
      <x:c r="K98" s="24" t="str">
        <x:v>C0｜Excluded — do not contact</x:v>
      </x:c>
      <x:c r="L98" s="24" t="str"/>
      <x:c r="M98" s="24" t="str">
        <x:v>No verified public brand-business route.</x:v>
      </x:c>
      <x:c r="N98" s="24" t="str">
        <x:v>不联系｜排除库</x:v>
      </x:c>
      <x:c r="O98" s="24" t="str">
        <x:v>定位：Reject
依据：direct audience/content fit; root visibility; professional/content authority；内容 4/20；90天活跃 Yes；E3；核验 2026-09-06
判断：The 90-day topic search confirms substantive AI/semiconductor and stock analysis, and two roots follow the account. However, the latest feed is mostly brief replies and the repeated hostile/pump tone crosses the current brand-safety gate; root visibility does…
风险/下一步：Repeated derogatory, profane and pump-style language in directly observed posts, including demeaning slurs, personal attacks, 'giga long' positioning and extre…；Keep in the active exclusion library. Reconsider only after a sustained brand-safe public record and a creator-authorized business route are observed.</x:v>
      </x:c>
      <x:c r="P98" s="24" t="str">
        <x:v>CN-X2-007</x:v>
      </x:c>
    </x:row>
    <x:row r="99" ht="72" customHeight="1">
      <x:c r="A99" s="24" t="str">
        <x:v>X</x:v>
      </x:c>
      <x:c r="B99" s="24" t="str">
        <x:v>SoFire (@Sofigoodboy)</x:v>
      </x:c>
      <x:c r="C99" s="24" t="str">
        <x:v>https://x.com/Sofigoodboy</x:v>
      </x:c>
      <x:c r="D99" s="24" t="n">
        <x:v>12246</x:v>
      </x:c>
      <x:c r="E99" s="24" t="str">
        <x:v>韩文; 英文</x:v>
      </x:c>
      <x:c r="F99" s="24" t="str">
        <x:v>韩国; 美国（内容市场）; 全球/跨境</x:v>
      </x:c>
      <x:c r="G99" s="24" t="str">
        <x:v>美股/市场评论；Trading/options</x:v>
      </x:c>
      <x:c r="H99" s="24" t="str">
        <x:v>独立 KOL / creator</x:v>
      </x:c>
      <x:c r="I99" s="24" t="str">
        <x:v>—</x:v>
      </x:c>
      <x:c r="J99" s="24" t="str">
        <x:v>Reject</x:v>
      </x:c>
      <x:c r="K99" s="24" t="str">
        <x:v>C0｜Excluded — do not contact</x:v>
      </x:c>
      <x:c r="L99" s="24" t="str"/>
      <x:c r="M99" s="24" t="str">
        <x:v>No creator-authorized brand-business route was observed.</x:v>
      </x:c>
      <x:c r="N99" s="24" t="str">
        <x:v>不联系｜排除库</x:v>
      </x:c>
      <x:c r="O99" s="24" t="str">
        <x:v>定位：Reject
依据：direct audience/content fit; root visibility; observed interaction bridge；内容 20/20；90天活跃 Yes；E3；核验 2026-09-06
判断：The finance topic ratio is high and Kova directly replied/mentioned the account, but stable originality fails: only two of the latest 20 are original/non-repost. A concentrated single-stock amplification account is not a suitable bridge creator for the curren…
风险/下一步：Eighteen of the latest 20 items are reposts. The feed is overwhelmingly concentrated on Sivers/$SIVE and related optical/semiconductor tickers, with bullish co…；Keep excluded from creator outreach. Retain the observed Kova interaction as relationship evidence only; do not treat it as endorsement.</x:v>
      </x:c>
      <x:c r="P99" s="24" t="str">
        <x:v>CN-X3-008</x:v>
      </x:c>
    </x:row>
    <x:row r="100" ht="72" customHeight="1">
      <x:c r="A100" s="24" t="str">
        <x:v>X</x:v>
      </x:c>
      <x:c r="B100" s="24" t="str">
        <x:v>Subu Trade (@SubuTrade)</x:v>
      </x:c>
      <x:c r="C100" s="24" t="str">
        <x:v>https://x.com/SubuTrade</x:v>
      </x:c>
      <x:c r="D100" s="24" t="n">
        <x:v>53172</x:v>
      </x:c>
      <x:c r="E100" s="24" t="str">
        <x:v>英文</x:v>
      </x:c>
      <x:c r="F100" s="24" t="str">
        <x:v>美国; 全球/跨境</x:v>
      </x:c>
      <x:c r="G100" s="24" t="str">
        <x:v>Trading/options；美股/市场评论</x:v>
      </x:c>
      <x:c r="H100" s="24" t="str">
        <x:v>独立 KOL / creator</x:v>
      </x:c>
      <x:c r="I100" s="24" t="str">
        <x:v>—</x:v>
      </x:c>
      <x:c r="J100" s="24" t="str">
        <x:v>Reject</x:v>
      </x:c>
      <x:c r="K100" s="24" t="str">
        <x:v>C1｜Excluded — do not contact</x:v>
      </x:c>
      <x:c r="L100" s="24" t="str"/>
      <x:c r="M100" s="24" t="str">
        <x:v>Official Substack and paid-subscriber Telegram access are current product/community routes, not verified brand-business contacts.</x:v>
      </x:c>
      <x:c r="N100" s="24" t="str">
        <x:v>不联系｜排除库</x:v>
      </x:c>
      <x:c r="O100" s="24" t="str">
        <x:v>定位：Reject — currently inactive trading newsletter/signal product
依据：direct audience/content fit; root visibility; professional/content authority；内容 20/20；90天活跃 No；E3；核验 2026-09-06
判断：Historical content is consistently finance-relevant and two roots follow the account, but both X and the official newsletter stopped before the 90-day window. This is an evidence-backed current-inactivity rejection, not a conclusion that the publication is pe…
风险/下一步：Official product markets 2–4 high-probability trades per week, exact entries/stops/targets and direct Telegram access. The last observed X post was 2026-04-16 …；Keep in the inactive exclusion library and recheck only if a new official X or newsletter issue appears. Do not use paid-subscriber Telegram as a sponsorship route.</x:v>
      </x:c>
      <x:c r="P100" s="24" t="str">
        <x:v>CN-X3-004</x:v>
      </x:c>
    </x:row>
    <x:row r="101" ht="72" customHeight="1">
      <x:c r="A101" s="24" t="str">
        <x:v>X</x:v>
      </x:c>
      <x:c r="B101" s="24" t="str">
        <x:v>Trade Whisperer (@TradexWhisperer)</x:v>
      </x:c>
      <x:c r="C101" s="24" t="str">
        <x:v>https://x.com/TradexWhisperer</x:v>
      </x:c>
      <x:c r="D101" s="24" t="n">
        <x:v>143614</x:v>
      </x:c>
      <x:c r="E101" s="24" t="str">
        <x:v>English</x:v>
      </x:c>
      <x:c r="F101" s="24" t="str">
        <x:v>美国; 全球/跨境</x:v>
      </x:c>
      <x:c r="G101" s="24" t="str">
        <x:v>Trading/options；Fintech/AI Finance; 美股/市场评论</x:v>
      </x:c>
      <x:c r="H101" s="24" t="str">
        <x:v>独立 KOL / creator</x:v>
      </x:c>
      <x:c r="I101" s="24" t="str">
        <x:v>—</x:v>
      </x:c>
      <x:c r="J101" s="24" t="str">
        <x:v>Reject</x:v>
      </x:c>
      <x:c r="K101" s="24" t="str">
        <x:v>C1｜Excluded — do not contact</x:v>
      </x:c>
      <x:c r="L101" s="24" t="str"/>
      <x:c r="M101" s="24" t="str">
        <x:v>Patreon/paid indicator access is public, but no separate creator-authorized brand-business route was verified.</x:v>
      </x:c>
      <x:c r="N101" s="24" t="str">
        <x:v>不联系｜排除库</x:v>
      </x:c>
      <x:c r="O101" s="24" t="str">
        <x:v>定位：Reject
依据：direct audience/content fit; root visibility; professional/content authority；内容 10/20；90天活跃 Yes；E3；核验 2026-09-06
判断：Semiconductor and memory research can be substantive, and two roots follow the account. The paid-signal funnel nevertheless uses extraordinary results, profit certainty and false-urgency-style scarcity language, crossing the commercial hard gate.
风险/下一步：Hard reject: repeated customer-profit claims and implied certainty are paired with live paid indicators/signals and scarcity prompts, including '$23,000 in a s…；Exclude from outreach. Reconsider only after profit-certainty/scarcity acquisition stops, performance methodology and conflicts are disclosed and a sustained changed public record…</x:v>
      </x:c>
      <x:c r="P101" s="24" t="str">
        <x:v>CN-X2-011</x:v>
      </x:c>
    </x:row>
    <x:row r="102" ht="72" customHeight="1">
      <x:c r="A102" s="24" t="str">
        <x:v>X</x:v>
      </x:c>
      <x:c r="B102" s="24" t="str">
        <x:v>XTrader 猫姐美股交易 (@maojietrading)</x:v>
      </x:c>
      <x:c r="C102" s="24" t="str">
        <x:v>https://x.com/maojietrading</x:v>
      </x:c>
      <x:c r="D102" s="24" t="n">
        <x:v>43780</x:v>
      </x:c>
      <x:c r="E102" s="24" t="str">
        <x:v>中文</x:v>
      </x:c>
      <x:c r="F102" s="24" t="str">
        <x:v>香港/大中华; 全球/跨境; 美国（内容市场；受众地域为推断）</x:v>
      </x:c>
      <x:c r="G102" s="24" t="str">
        <x:v>Trading/options；美股/市场评论</x:v>
      </x:c>
      <x:c r="H102" s="24" t="str">
        <x:v>独立 KOL / creator</x:v>
      </x:c>
      <x:c r="I102" s="24" t="str">
        <x:v>—</x:v>
      </x:c>
      <x:c r="J102" s="24" t="str">
        <x:v>Reject</x:v>
      </x:c>
      <x:c r="K102" s="24" t="str">
        <x:v>C0｜Excluded — do not contact</x:v>
      </x:c>
      <x:c r="L102" s="24" t="str"/>
      <x:c r="M102" s="24" t="str">
        <x:v>Apply@XTraderMaojie.com (Club application only)</x:v>
      </x:c>
      <x:c r="N102" s="24" t="str">
        <x:v>不联系｜排除库</x:v>
      </x:c>
      <x:c r="O102" s="24" t="str">
        <x:v>定位：Reject
依据：professional authority/content credibility; direct audience fit; root visibility/interaction；内容 14/20；90天活跃 Yes；E3；核验 2026-09-06
判断：原 Question 的关键红旗已在当前 X 简介得到原始复核：以‘五年美股收益率 910%’作为权威营销，并配合付费 Club、择时/底部命中和具体交易点表达。风险来自未经独立核验的超常业绩营销组合，而非仅因售课、crypto 或普通 buy/sell 用语。
风险/下一步：重大品牌安全风险：超常历史收益宣传、付费交易社群、反复择时成功叙事及居高临下表达；无独立审计或标准化业绩披露。；进入排除库；除非未来提供可审计业绩口径、完整披露与显著改变的公开内容记录，否则不重新进入建联队列。</x:v>
      </x:c>
      <x:c r="P102" s="24" t="str">
        <x:v>CRT-019</x:v>
      </x:c>
    </x:row>
    <x:row r="103" ht="72" customHeight="1">
      <x:c r="A103" s="24" t="str">
        <x:v>YouTube</x:v>
      </x:c>
      <x:c r="B103" s="24" t="str">
        <x:v>BWB – Business With Brian</x:v>
      </x:c>
      <x:c r="C103" s="24" t="str">
        <x:v>https://www.youtube.com/channel/UCyqlbzLoYtpqDXwRI9Yh5LA</x:v>
      </x:c>
      <x:c r="D103" s="24" t="n">
        <x:v>432000</x:v>
      </x:c>
      <x:c r="E103" s="24" t="str">
        <x:v>英文</x:v>
      </x:c>
      <x:c r="F103" s="24" t="str">
        <x:v>美国（受众地域按原证据置信度）</x:v>
      </x:c>
      <x:c r="G103" s="24" t="str">
        <x:v>美股/市场评论；Fintech/AI Finance</x:v>
      </x:c>
      <x:c r="H103" s="24" t="str">
        <x:v>独立 KOL / creator</x:v>
      </x:c>
      <x:c r="I103" s="24" t="str">
        <x:v>—</x:v>
      </x:c>
      <x:c r="J103" s="24" t="str">
        <x:v>Reject</x:v>
      </x:c>
      <x:c r="K103" s="24" t="str">
        <x:v>C3｜Verified public route</x:v>
      </x:c>
      <x:c r="L103" s="24" t="str"/>
      <x:c r="M103" s="24" t="str">
        <x:v>公开 email: ateambwb@gmail.com；多项 sponsor/affiliate route。</x:v>
      </x:c>
      <x:c r="N103" s="24" t="str">
        <x:v>不联系｜排除库</x:v>
      </x:c>
      <x:c r="O103" s="24" t="str">
        <x:v>定位：Reject
依据：professional authority/content credibility; direct audience fit; historical sponsor/partner evidence；内容 20/20；90天活跃 Yes；E3；核验 2026-09-04T12:41:48+08:00
判断：触发 severe brand-safety hard gate：付费证券发行人推广与极端收益/紧迫性 framing 同时存在。
风险/下一步：严重：Mayfair Gold 视频披露 BWB 获付 $21,667、由 Gold Standard Media 资助，并警示所推证券高风险；Promino 亦为付费发行人内容。标题反复使用 millionaires/10x/easy trade。；不进入供应池；保留证据供客户最终决定。</x:v>
      </x:c>
      <x:c r="P103" s="24" t="str">
        <x:v>CRT-001</x:v>
      </x:c>
    </x:row>
    <x:row r="104" ht="72" customHeight="1">
      <x:c r="A104" s="24" t="str">
        <x:v>YouTube</x:v>
      </x:c>
      <x:c r="B104" s="24" t="str">
        <x:v>Joseph Hogue / Let’s Talk Money</x:v>
      </x:c>
      <x:c r="C104" s="24" t="str">
        <x:v>https://www.youtube.com/channel/UCbKdotYtcY9SxoU8CYAXdvg</x:v>
      </x:c>
      <x:c r="D104" s="24" t="n">
        <x:v>756000</x:v>
      </x:c>
      <x:c r="E104" s="24" t="str">
        <x:v>英文</x:v>
      </x:c>
      <x:c r="F104" s="24" t="str">
        <x:v>美国（受众地域按原证据置信度）</x:v>
      </x:c>
      <x:c r="G104" s="24" t="str">
        <x:v>美股/市场评论；Retail investing</x:v>
      </x:c>
      <x:c r="H104" s="24" t="str">
        <x:v>独立 KOL / creator</x:v>
      </x:c>
      <x:c r="I104" s="24" t="str">
        <x:v>—</x:v>
      </x:c>
      <x:c r="J104" s="24" t="str">
        <x:v>Reject</x:v>
      </x:c>
      <x:c r="K104" s="24" t="str">
        <x:v>C0｜Unverified / insufficient</x:v>
      </x:c>
      <x:c r="L104" s="24" t="str"/>
      <x:c r="M104" s="24" t="str">
        <x:v>自有站点/服务不计 business contact；未发现公开品牌邮箱。</x:v>
      </x:c>
      <x:c r="N104" s="24" t="str">
        <x:v>不联系｜排除库</x:v>
      </x:c>
      <x:c r="O104" s="24" t="str">
        <x:v>定位：Reject
依据：professional authority/content credibility; direct audience fit; historical sponsor/partner evidence；内容 20/20；90天活跃 Yes；E3；核验 2026-09-04T12:41:48+08:00
判断：粉丝规模不是问题；反复极端喊单/收益 framing 已成为主内容模式，触发 hard gate。
风险/下一步：20 条几乎全用 BUY HEAVY、24 days、lifetime、emergency、3X、retire now 等收益/紧迫性 call；另有 sponsor。；不进入当前通用品牌池。</x:v>
      </x:c>
      <x:c r="P104" s="24" t="str">
        <x:v>CRT-011</x:v>
      </x:c>
    </x:row>
    <x:row r="105" ht="72" customHeight="1">
      <x:c r="A105" s="24" t="str">
        <x:v>YouTube</x:v>
      </x:c>
      <x:c r="B105" s="24" t="str">
        <x:v>Ticker Symbol: YOU</x:v>
      </x:c>
      <x:c r="C105" s="24" t="str">
        <x:v>https://www.youtube.com/channel/UC7kCeZ53sli_9XwuQeFxLqw</x:v>
      </x:c>
      <x:c r="D105" s="24" t="n">
        <x:v>657000</x:v>
      </x:c>
      <x:c r="E105" s="24" t="str">
        <x:v>英文</x:v>
      </x:c>
      <x:c r="F105" s="24" t="str">
        <x:v>美国（受众地域按原证据置信度）</x:v>
      </x:c>
      <x:c r="G105" s="24" t="str">
        <x:v>美股/市场评论；Fintech/AI Finance</x:v>
      </x:c>
      <x:c r="H105" s="24" t="str">
        <x:v>独立 KOL / creator</x:v>
      </x:c>
      <x:c r="I105" s="24" t="str">
        <x:v>—</x:v>
      </x:c>
      <x:c r="J105" s="24" t="str">
        <x:v>Reject</x:v>
      </x:c>
      <x:c r="K105" s="24" t="str">
        <x:v>C0｜Unverified / insufficient</x:v>
      </x:c>
      <x:c r="L105" s="24" t="str"/>
      <x:c r="M105" s="24" t="str">
        <x:v>未发现公开 business email/media kit。</x:v>
      </x:c>
      <x:c r="N105" s="24" t="str">
        <x:v>不联系｜排除库</x:v>
      </x:c>
      <x:c r="O105" s="24" t="str">
        <x:v>定位：Reject
依据：professional authority/content credibility; direct audience fit; historical sponsor/partner evidence；内容 20/20；90天活跃 Yes；E3；核验 2026-09-04T12:41:48+08:00
判断：粉丝数并非拒绝理由；新的 latest-20 证据显示极端致富/紧迫性标题是主要模式，触发 hard gate。
风险/下一步：20 条中约 16 条使用 millionaires/get rich/every share/before too late/historic opportunity 等致富或紧迫性 framing，构成主要内容包装。；不进入当前通用品牌池；如客户明确接受高促动性 performance creative，可另开例外审查。</x:v>
      </x:c>
      <x:c r="P105" s="24" t="str">
        <x:v>CRT-010</x:v>
      </x:c>
    </x:row>
    <x:row r="106" ht="72" customHeight="1">
      <x:c r="A106" s="24" t="str">
        <x:v>YouTube</x:v>
      </x:c>
      <x:c r="B106" s="24" t="str">
        <x:v>Verified Investing</x:v>
      </x:c>
      <x:c r="C106" s="24" t="str">
        <x:v>https://www.youtube.com/channel/UCZ-J2m1AUSLnifUEKam5_dA</x:v>
      </x:c>
      <x:c r="D106" s="24" t="n">
        <x:v>127000</x:v>
      </x:c>
      <x:c r="E106" s="24" t="str">
        <x:v>英文</x:v>
      </x:c>
      <x:c r="F106" s="24" t="str">
        <x:v>美国（受众地域按原证据置信度）</x:v>
      </x:c>
      <x:c r="G106" s="24" t="str">
        <x:v>Trading/options；Crypto × Equity/新金融</x:v>
      </x:c>
      <x:c r="H106" s="24" t="str">
        <x:v>独立 KOL / creator</x:v>
      </x:c>
      <x:c r="I106" s="24" t="str">
        <x:v>—</x:v>
      </x:c>
      <x:c r="J106" s="24" t="str">
        <x:v>Reject</x:v>
      </x:c>
      <x:c r="K106" s="24" t="str">
        <x:v>C1｜Unverified / insufficient</x:v>
      </x:c>
      <x:c r="L106" s="24" t="str"/>
      <x:c r="M106" s="24" t="str">
        <x:v>自有 paid trading rooms/products；未见品牌采购入口。</x:v>
      </x:c>
      <x:c r="N106" s="24" t="str">
        <x:v>不联系｜排除库</x:v>
      </x:c>
      <x:c r="O106" s="24" t="str">
        <x:v>定位：Reject
依据：professional authority/content credibility; direct audience fit; historical sponsor/partner evidence；内容 19/20；90天活跃 Yes；E3；核验 2026-09-04T12:41:48+08:00
判断：不是独立 creator，而是 selling trading products 的 team/company account；触发实体类型 hard gate。
风险/下一步：公司/团队与自有交易产品利益关联；多资产/crypto 比重高；外部交易所 sponsorship。；不作为 direct creator seed；若未来允许 trading media/vendor，可重新分类。</x:v>
      </x:c>
      <x:c r="P106" s="24" t="str">
        <x:v>CRT-012</x:v>
      </x:c>
    </x:row>
    <x:row r="107" ht="72" customHeight="1">
      <x:c r="A107" s="24" t="str">
        <x:v>YouTube; CMoney</x:v>
      </x:c>
      <x:c r="B107" s="24" t="str">
        <x:v>Mike 是麥克</x:v>
      </x:c>
      <x:c r="C107" s="24" t="str">
        <x:v>https://www.youtube.com/@mike1111</x:v>
      </x:c>
      <x:c r="D107" s="24" t="n">
        <x:v>204000</x:v>
      </x:c>
      <x:c r="E107" s="24" t="str">
        <x:v>中文</x:v>
      </x:c>
      <x:c r="F107" s="24" t="str">
        <x:v>美国; 中国内地; 香港/大中华; 全球/跨境</x:v>
      </x:c>
      <x:c r="G107" s="24" t="str">
        <x:v>美股/市场评论；Trading/options; Crypto × Equity/新金融</x:v>
      </x:c>
      <x:c r="H107" s="24" t="str">
        <x:v>独立 KOL / creator</x:v>
      </x:c>
      <x:c r="I107" s="24" t="str">
        <x:v>—</x:v>
      </x:c>
      <x:c r="J107" s="24" t="str">
        <x:v>Reject</x:v>
      </x:c>
      <x:c r="K107" s="24" t="str">
        <x:v>C2｜Excluded — do not contact</x:v>
      </x:c>
      <x:c r="L107" s="24" t="str"/>
      <x:c r="M107" s="24" t="str">
        <x:v>CMoney product route and a public direct email exist, but the entity is excluded</x:v>
      </x:c>
      <x:c r="N107" s="24" t="str">
        <x:v>不联系｜排除库</x:v>
      </x:c>
      <x:c r="O107" s="24" t="str">
        <x:v>定位：Reject
依据：supplier/media roster; direct audience/content fit; commercial route requires confirmation；内容 20/20；90天活跃 Yes；E3；核验 2026-09-06
判断：Twenty of twenty long videos are financially relevant, but repeated extreme-upside and immediate-action framing is commercially adjacent to paid membership and dense financial-product acquisition. This crosses the brand-safety hard gate despite high relevance.
风险/下一步：Repeated ten-bagger/hundred-bagger, get-rich, strong-buy-now and wealth-freedom framing appears next to paid membership, public position sharing and broker/fin…；Add to the exclusion library and do not contact. Reconsider only after sustained removal of extreme-return/urgency acquisition framing and auditable disclosure controls.</x:v>
      </x:c>
      <x:c r="P107" s="24" t="str">
        <x:v>SBI-052</x:v>
      </x:c>
    </x:row>
    <x:row r="108" ht="72" customHeight="1">
      <x:c r="A108" s="25" t="str">
        <x:v>YouTube; Facebook; CMoney</x:v>
      </x:c>
      <x:c r="B108" s="25" t="str">
        <x:v>權證小哥</x:v>
      </x:c>
      <x:c r="C108" s="25" t="str">
        <x:v>https://www.youtube.com/@cng07151</x:v>
      </x:c>
      <x:c r="D108" s="25" t="n">
        <x:v>101000</x:v>
      </x:c>
      <x:c r="E108" s="25" t="str">
        <x:v>中文</x:v>
      </x:c>
      <x:c r="F108" s="25" t="str">
        <x:v>台湾; 香港/大中华</x:v>
      </x:c>
      <x:c r="G108" s="25" t="str">
        <x:v>Trading/options；台股市场教育</x:v>
      </x:c>
      <x:c r="H108" s="25" t="str">
        <x:v>独立 KOL / creator</x:v>
      </x:c>
      <x:c r="I108" s="25" t="str">
        <x:v>—</x:v>
      </x:c>
      <x:c r="J108" s="25" t="str">
        <x:v>Reject</x:v>
      </x:c>
      <x:c r="K108" s="25" t="str">
        <x:v>C2｜Excluded — do not contact for paid KOL outreach</x:v>
      </x:c>
      <x:c r="L108" s="25" t="str"/>
      <x:c r="M108" s="25" t="str">
        <x:v>Official channel directs cooperation inquiries to Facebook DM; CMoney has an institutional route</x:v>
      </x:c>
      <x:c r="N108" s="25" t="str">
        <x:v>不联系｜排除库</x:v>
      </x:c>
      <x:c r="O108" s="25" t="str">
        <x:v>定位：Reject — performance-led trading creator
依据：supplier/media roster; direct audience/content fit; commercial route requires confirmation；内容 7/7；90天活跃 Yes；E3；核验 2026-09-06
判断：This is not a rejection for normal buy/sell language, teaching, affiliate activity or the existence of crypto/trading content. It is a paid-creator brand-safety decision based on repeated current performance-led acquisition around a material unsubstantiated N…
风险/下一步：Current extraordinary four-day profit claim is used next to self-owned software/course promotion without a public account basis or complete methodology. Other …；Do not include in outreach or future discovery. Reconsider only after independently auditable performance methodology, full material-interest disclosure and sustained non-performa…</x:v>
      </x:c>
      <x:c r="P108" s="25" t="str">
        <x:v>SBI-050</x:v>
      </x:c>
    </x:row>
  </x:sheetData>
  <x:conditionalFormatting sqref="J8:J108">
    <x:cfRule type="containsText" dxfId="0" priority="1" operator="containsText" text="Approve"/>
    <x:cfRule type="containsText" dxfId="1" priority="2" operator="containsText" text="Question"/>
    <x:cfRule type="containsText" dxfId="2" priority="3" operator="containsText" text="Reject"/>
  </x:conditionalFormatting>
  <x:conditionalFormatting sqref="H8:H108">
    <x:cfRule type="containsText" dxfId="3" priority="4" operator="containsText" text="Proxy root"/>
  </x:conditionalFormatting>
  <x:pageMargins left="0.7" right="0.7" top="0.75" bottom="0.75" header="0.3" footer="0.3"/>
  <x:tableParts count="1">
    <x:tablePart xmlns:r="http://schemas.openxmlformats.org/officeDocument/2006/relationships" r:id="R7e3a94f3a30d4ba0"/>
  </x:tableParts>
</x:worksheet>
</file>

<file path=xl/worksheets/sheet2.xml><?xml version="1.0" encoding="utf-8"?>
<x:worksheet xmlns:x="http://schemas.openxmlformats.org/spreadsheetml/2006/main">
  <x:sheetPr>
    <x:tabColor rgb="FF2563EB"/>
  </x:sheetPr>
  <x:sheetViews>
    <x:sheetView showGridLines="0" workbookViewId="0">
      <x:pane xSplit="3" ySplit="7" topLeftCell="D8" activePane="bottomRight" state="frozen"/>
    </x:sheetView>
  </x:sheetViews>
  <x:sheetFormatPr defaultRowHeight="15"/>
  <x:cols>
    <x:col min="1" max="1" width="15" hidden="0" customWidth="1"/>
    <x:col min="2" max="2" width="29" hidden="0" customWidth="1"/>
    <x:col min="3" max="3" width="38" hidden="0" customWidth="1"/>
    <x:col min="4" max="4" width="14" hidden="0" customWidth="1"/>
    <x:col min="5" max="5" width="22" hidden="0" customWidth="1"/>
    <x:col min="6" max="6" width="36" hidden="0" customWidth="1"/>
    <x:col min="7" max="7" width="33" hidden="0" customWidth="1"/>
    <x:col min="8" max="8" width="10" hidden="0" customWidth="1"/>
    <x:col min="9" max="9" width="14" hidden="0" customWidth="1"/>
    <x:col min="10" max="10" width="22" hidden="0" customWidth="1"/>
    <x:col min="11" max="11" width="30" hidden="0" customWidth="1"/>
    <x:col min="12" max="12" width="38" hidden="0" customWidth="1"/>
    <x:col min="13" max="13" width="29" hidden="0" customWidth="1"/>
    <x:col min="14" max="14" width="23" hidden="0" customWidth="1"/>
    <x:col min="15" max="15" width="72" hidden="0" customWidth="1"/>
    <x:col min="16" max="16" width="17" hidden="0" customWidth="1"/>
  </x:cols>
  <x:sheetData>
    <x:row r="1" ht="25" customHeight="1">
      <x:c r="A1" s="3" t="str">
        <x:v>Mango Finance Institution &amp; Supplier List｜Agency、MCN、Manager、媒体与 Creator Network</x:v>
      </x:c>
      <x:c r="B1" s="1"/>
      <x:c r="C1" s="1"/>
      <x:c r="D1" s="1"/>
      <x:c r="E1" s="1"/>
      <x:c r="F1" s="1"/>
      <x:c r="G1" s="1"/>
      <x:c r="H1" s="1"/>
      <x:c r="I1" s="1"/>
      <x:c r="J1" s="1"/>
      <x:c r="K1" s="1"/>
      <x:c r="L1" s="1"/>
      <x:c r="M1" s="1"/>
      <x:c r="N1" s="1"/>
      <x:c r="O1" s="1"/>
      <x:c r="P1" s="1"/>
    </x:row>
    <x:row r="2" ht="25" customHeight="1">
      <x:c r="A2" s="1"/>
      <x:c r="B2" s="1"/>
      <x:c r="C2" s="1"/>
      <x:c r="D2" s="1"/>
      <x:c r="E2" s="1"/>
      <x:c r="F2" s="1"/>
      <x:c r="G2" s="1"/>
      <x:c r="H2" s="1"/>
      <x:c r="I2" s="1"/>
      <x:c r="J2" s="1"/>
      <x:c r="K2" s="1"/>
      <x:c r="L2" s="1"/>
      <x:c r="M2" s="1"/>
      <x:c r="N2" s="1"/>
      <x:c r="O2" s="1"/>
      <x:c r="P2" s="1"/>
    </x:row>
    <x:row r="3" ht="22" customHeight="1">
      <x:c r="A3" s="5" t="str">
        <x:v>来源同一 Relationship Pipeline｜本页 47 个机构记录；与独立 KOL 分开。机构拥有 roster 或商业入口，不代表其对每个 creator 拥有独家管理权。</x:v>
      </x:c>
      <x:c r="B3" s="4"/>
      <x:c r="C3" s="4"/>
      <x:c r="D3" s="4"/>
      <x:c r="E3" s="4"/>
      <x:c r="F3" s="4"/>
      <x:c r="G3" s="4"/>
      <x:c r="H3" s="4"/>
      <x:c r="I3" s="4"/>
      <x:c r="J3" s="4"/>
      <x:c r="K3" s="4"/>
      <x:c r="L3" s="4"/>
      <x:c r="M3" s="4"/>
      <x:c r="N3" s="4"/>
      <x:c r="O3" s="4"/>
      <x:c r="P3" s="4"/>
    </x:row>
    <x:row r="4" ht="28" customHeight="1">
      <x:c r="A4" s="8" t="str">
        <x:v>机构总数</x:v>
      </x:c>
      <x:c r="B4" s="11" t="n">
        <x:f>COUNTA(B8:B54)</x:f>
        <x:v>47</x:v>
      </x:c>
      <x:c r="C4" s="8" t="str">
        <x:v>Approve</x:v>
      </x:c>
      <x:c r="D4" s="11" t="n">
        <x:f>COUNTIF(I8:I54,"Approve")</x:f>
        <x:v>30</x:v>
      </x:c>
      <x:c r="E4" s="8" t="str">
        <x:v>Question</x:v>
      </x:c>
      <x:c r="F4" s="11" t="n">
        <x:f>COUNTIF(I8:I54,"Question")</x:f>
        <x:v>0</x:v>
      </x:c>
      <x:c r="G4" s="8" t="str">
        <x:v>Reject</x:v>
      </x:c>
      <x:c r="H4" s="11" t="n">
        <x:f>COUNTIF(I8:I54,"Reject")</x:f>
        <x:v>17</x:v>
      </x:c>
      <x:c r="I4" s="8" t="str">
        <x:v>Outreach Ready</x:v>
      </x:c>
      <x:c r="J4" s="11" t="n">
        <x:f>COUNTIF(N8:N54,"待授权建联")</x:f>
        <x:v>30</x:v>
      </x:c>
      <x:c r="K4" s="8" t="str">
        <x:v>已联系</x:v>
      </x:c>
      <x:c r="L4" s="11" t="n">
        <x:f>COUNTIF(N8:N54,"已联系*")</x:f>
        <x:v>0</x:v>
      </x:c>
      <x:c r="M4" s="8" t="str">
        <x:v>已获Roster</x:v>
      </x:c>
      <x:c r="N4" s="11" t="n">
        <x:f>COUNTIF(M8:M54,"已获 roster")</x:f>
        <x:v>0</x:v>
      </x:c>
      <x:c r="O4" s="8" t="str">
        <x:v>已获报价</x:v>
      </x:c>
      <x:c r="P4" s="11" t="n">
        <x:f>COUNTIF(K8:K54,"已获报价*")</x:f>
        <x:v>0</x:v>
      </x:c>
    </x:row>
    <x:row r="5" ht="24" customHeight="1">
      <x:c r="A5" s="13" t="str">
        <x:v>机构口径：agency / MCN / manager / media network / creator supplier 单独成表；需通过回复确认 roster、关系类型、是否可单人采购、最低预算、费率、档期和排他性。</x:v>
      </x:c>
      <x:c r="B5" s="12"/>
      <x:c r="C5" s="12"/>
      <x:c r="D5" s="12"/>
      <x:c r="E5" s="12"/>
      <x:c r="F5" s="12"/>
      <x:c r="G5" s="12"/>
      <x:c r="H5" s="12"/>
      <x:c r="I5" s="12"/>
      <x:c r="J5" s="12"/>
      <x:c r="K5" s="12"/>
      <x:c r="L5" s="12"/>
      <x:c r="M5" s="12"/>
      <x:c r="N5" s="12"/>
      <x:c r="O5" s="12"/>
      <x:c r="P5" s="12"/>
    </x:row>
    <x:row r="7" ht="34" customHeight="1">
      <x:c r="A7" s="19" t="str">
        <x:v>平台 / 渠道</x:v>
      </x:c>
      <x:c r="B7" s="19" t="str">
        <x:v>机构名称</x:v>
      </x:c>
      <x:c r="C7" s="19" t="str">
        <x:v>官网</x:v>
      </x:c>
      <x:c r="D7" s="19" t="str">
        <x:v>语言</x:v>
      </x:c>
      <x:c r="E7" s="19" t="str">
        <x:v>市场</x:v>
      </x:c>
      <x:c r="F7" s="19" t="str">
        <x:v>机构类型</x:v>
      </x:c>
      <x:c r="G7" s="19" t="str">
        <x:v>Finance覆盖 / Lane</x:v>
      </x:c>
      <x:c r="H7" s="19" t="str">
        <x:v>优先级</x:v>
      </x:c>
      <x:c r="I7" s="19" t="str">
        <x:v>当前审计决定</x:v>
      </x:c>
      <x:c r="J7" s="19" t="str">
        <x:v>商务就绪</x:v>
      </x:c>
      <x:c r="K7" s="19" t="str">
        <x:v>报价</x:v>
      </x:c>
      <x:c r="L7" s="19" t="str">
        <x:v>联系方式</x:v>
      </x:c>
      <x:c r="M7" s="19" t="str">
        <x:v>Roster / 关系状态</x:v>
      </x:c>
      <x:c r="N7" s="19" t="str">
        <x:v>跟进状态</x:v>
      </x:c>
      <x:c r="O7" s="19" t="str">
        <x:v>备注</x:v>
      </x:c>
      <x:c r="P7" s="19" t="str">
        <x:v>Entity ID</x:v>
      </x:c>
    </x:row>
    <x:row r="8" ht="72" customHeight="1">
      <x:c r="A8" s="24" t="str">
        <x:v>App; Web; WeChat; Live/Events</x:v>
      </x:c>
      <x:c r="B8" s="24" t="str">
        <x:v>财联社 / CLS</x:v>
      </x:c>
      <x:c r="C8" s="24" t="str">
        <x:v>https://image.cls.cn/html/business/cooperation_671.html</x:v>
      </x:c>
      <x:c r="D8" s="24" t="str">
        <x:v>中文</x:v>
      </x:c>
      <x:c r="E8" s="24" t="str">
        <x:v>中国内地; 香港/大中华; 全球/跨境</x:v>
      </x:c>
      <x:c r="F8" s="24" t="str">
        <x:v>finance media/platform and KOL cooperation route</x:v>
      </x:c>
      <x:c r="G8" s="24" t="str">
        <x:v>美股/市场评论; Trading/options; Retail investing；Fintech/AI Finance; Crypto × Equity/新金融; 机构金融</x:v>
      </x:c>
      <x:c r="H8" s="24" t="str">
        <x:v>P0</x:v>
      </x:c>
      <x:c r="I8" s="24" t="str">
        <x:v>Approve</x:v>
      </x:c>
      <x:c r="J8" s="24" t="str">
        <x:v>C3｜Outreach Ready</x:v>
      </x:c>
      <x:c r="K8" s="24" t="str"/>
      <x:c r="L8" s="24" t="str">
        <x:v>penglili@cls.cn</x:v>
      </x:c>
      <x:c r="M8" s="24" t="str">
        <x:v>待索取 roster / 关系标签</x:v>
      </x:c>
      <x:c r="N8" s="24" t="str">
        <x:v>待授权建联</x:v>
      </x:c>
      <x:c r="O8" s="24" t="str">
        <x:v>采购角色：Newsletter/podcast/media route
关系边界：CLS is a finance publisher/platform. Its 大V商务合作 function is an inquiry route, not proof of managed or exclusive creators.
依据：The explicit named 大V商务合作 contact is a rare, directly executable mainland finance creator/media procurement route even though the public roster is not named.；90天活跃 Current official business-cooperation page observed；E3；核验 2026-09-06
下一步：Current named finance KOL/creator and owned-media inventory; managed/exclusive/non-exclusive/project-sourced labels; platforms and audience; selectable formats; rates/minimum budget; compliance and category conflicts; next eight-week availability.</x:v>
      </x:c>
      <x:c r="P8" s="24" t="str">
        <x:v>CN-SUP-014</x:v>
      </x:c>
    </x:row>
    <x:row r="9" ht="72" customHeight="1">
      <x:c r="A9" s="24" t="str">
        <x:v>Douyin; Xiaohongshu; WeChat Channels; Kuaishou</x:v>
      </x:c>
      <x:c r="B9" s="24" t="str">
        <x:v>奇光传媒集团 / 奇光MCN</x:v>
      </x:c>
      <x:c r="C9" s="24" t="str">
        <x:v>https://www.spkgmv.com/dspyx</x:v>
      </x:c>
      <x:c r="D9" s="24" t="str">
        <x:v>中文</x:v>
      </x:c>
      <x:c r="E9" s="24" t="str">
        <x:v>中国内地; 香港/大中华; 全球/跨境</x:v>
      </x:c>
      <x:c r="F9" s="24" t="str">
        <x:v>mainland creator MCN/agency</x:v>
      </x:c>
      <x:c r="G9" s="24" t="str">
        <x:v>Retail investing; 美股/市场评论；Fintech/AI Finance; Trading/options; 商业/知识</x:v>
      </x:c>
      <x:c r="H9" s="24" t="str">
        <x:v>P0</x:v>
      </x:c>
      <x:c r="I9" s="24" t="str">
        <x:v>Approve</x:v>
      </x:c>
      <x:c r="J9" s="24" t="str">
        <x:v>C3｜Outreach Ready</x:v>
      </x:c>
      <x:c r="K9" s="24" t="str"/>
      <x:c r="L9" s="24" t="str">
        <x:v>business WeChat liujijiao110; https://www.spkgmv.com/lxwm1</x:v>
      </x:c>
      <x:c r="M9" s="24" t="str">
        <x:v>待索取 roster / 关系标签</x:v>
      </x:c>
      <x:c r="N9" s="24" t="str">
        <x:v>待授权建联</x:v>
      </x:c>
      <x:c r="O9" s="24" t="str">
        <x:v>采购角色：Manager/supplier lead
关系边界：Qiguang is a verified MCN/company supplier. The combined art/finance roster category does not prove that every displayed account is finance-related, managed, exclusive or currently buyable.
依据：This is the first verified mainland MCN route in the pipeline with an official finance-labelled roster page and executable official business contact.；90天活跃 Current official company, roster and contact pages plus a 2026 anti-fraud notice observed；E3；核验 2026-09-06
下一步：Current finance-only roster with exact platform links and managed/exclusive/non-exclusive/project-sourced labels; audience and recent finance content; sponsor history; formats; rates/minimum budget; single-creator booking; conflicts; disclosure; next eight-we…</x:v>
      </x:c>
      <x:c r="P9" s="24" t="str">
        <x:v>CN-SUP-016</x:v>
      </x:c>
    </x:row>
    <x:row r="10" ht="72" customHeight="1">
      <x:c r="A10" s="24" t="str">
        <x:v>Official web</x:v>
      </x:c>
      <x:c r="B10" s="24" t="str">
        <x:v>Creators Agency</x:v>
      </x:c>
      <x:c r="C10" s="24" t="str">
        <x:v>https://creatorsagency.co/</x:v>
      </x:c>
      <x:c r="D10" s="24" t="str">
        <x:v>英文</x:v>
      </x:c>
      <x:c r="E10" s="24" t="str">
        <x:v>美国（受众地域按原证据置信度）</x:v>
      </x:c>
      <x:c r="F10" s="24" t="str">
        <x:v>Manager/supplier lead</x:v>
      </x:c>
      <x:c r="G10" s="24" t="str">
        <x:v>美股/市场评论; Retail investing; Fintech/AI Finance</x:v>
      </x:c>
      <x:c r="H10" s="24" t="str">
        <x:v>P0</x:v>
      </x:c>
      <x:c r="I10" s="24" t="str">
        <x:v>Approve</x:v>
      </x:c>
      <x:c r="J10" s="24" t="str">
        <x:v>C3｜Outreach Ready</x:v>
      </x:c>
      <x:c r="K10" s="24" t="str"/>
      <x:c r="L10" s="24" t="str">
        <x:v>https://creatorsagency.co/contact</x:v>
      </x:c>
      <x:c r="M10" s="24" t="str">
        <x:v>待索取 roster / 关系标签</x:v>
      </x:c>
      <x:c r="N10" s="24" t="str">
        <x:v>待授权建联</x:v>
      </x:c>
      <x:c r="O10" s="24" t="str">
        <x:v>采购角色：Manager/supplier lead
关系边界：Creators Agency is a verified agency/supplier. Public market-index names are not automatically clients, and its current full roster has not been received by Mango.
依据：具备 finance 垂直定位、公开商务入口、具名 creator testimonial 与 finance case；作为供应商 lead 成立，但正式 roster 仍待第二阶段确认。；90天活跃 N/A — route role；E3；核验 2026-09-04T12:41:48+08:00
下一步：Access to the current gated 100+ roster and finance/investing/fintech subset; represented vs market-index status; creator-level audience/open dates/sponsor history; whether the public USD 50k planning threshold and 20% creator commission apply; brand-side fee…</x:v>
      </x:c>
      <x:c r="P10" s="24" t="str">
        <x:v>SUP-001</x:v>
      </x:c>
    </x:row>
    <x:row r="11" ht="72" customHeight="1">
      <x:c r="A11" s="24" t="str">
        <x:v>Official web</x:v>
      </x:c>
      <x:c r="B11" s="24" t="str">
        <x:v>Financial Influencer Network (FIN)</x:v>
      </x:c>
      <x:c r="C11" s="24" t="str">
        <x:v>https://financialinfluencernetwork.com/</x:v>
      </x:c>
      <x:c r="D11" s="24" t="str">
        <x:v>英文</x:v>
      </x:c>
      <x:c r="E11" s="24" t="str">
        <x:v>美国（受众地域按原证据置信度）</x:v>
      </x:c>
      <x:c r="F11" s="24" t="str">
        <x:v>Manager/supplier lead</x:v>
      </x:c>
      <x:c r="G11" s="24" t="str">
        <x:v>Retail investing; Fintech/AI Finance; 美股/市场评论</x:v>
      </x:c>
      <x:c r="H11" s="24" t="str">
        <x:v>P0</x:v>
      </x:c>
      <x:c r="I11" s="24" t="str">
        <x:v>Approve</x:v>
      </x:c>
      <x:c r="J11" s="24" t="str">
        <x:v>C3｜Outreach Ready</x:v>
      </x:c>
      <x:c r="K11" s="24" t="str"/>
      <x:c r="L11" s="24" t="str">
        <x:v>hello@speaktofin.com</x:v>
      </x:c>
      <x:c r="M11" s="24" t="str">
        <x:v>待索取 roster / 关系标签</x:v>
      </x:c>
      <x:c r="N11" s="24" t="str">
        <x:v>待授权建联</x:v>
      </x:c>
      <x:c r="O11" s="24" t="str">
        <x:v>采购角色：Manager/supplier lead
关系边界：FIN Talent 明确是 speakers bureau / talent agency 类路线。
依据：具名 finance roster、清晰服务类型、公开入口和具体 fintech case 同时成立。；90天活跃 N/A — route role；E3；核验 2026-09-04T12:41:48+08:00
下一步：Current FIN Talent roster; creator audience/platform data; spokesperson, host-read, masterclass and content formats; rates; minimum budget; exclusivity; individual bookings; availability.</x:v>
      </x:c>
      <x:c r="P11" s="24" t="str">
        <x:v>SUP-002</x:v>
      </x:c>
    </x:row>
    <x:row r="12" ht="72" customHeight="1">
      <x:c r="A12" s="24" t="str">
        <x:v>Official web</x:v>
      </x:c>
      <x:c r="B12" s="24" t="str">
        <x:v>ThoughtLeaders</x:v>
      </x:c>
      <x:c r="C12" s="24" t="str">
        <x:v>https://www.thoughtleaders.io/</x:v>
      </x:c>
      <x:c r="D12" s="24" t="str">
        <x:v>英文</x:v>
      </x:c>
      <x:c r="E12" s="24" t="str">
        <x:v>全球/跨境; 美国（适配待验证）</x:v>
      </x:c>
      <x:c r="F12" s="24" t="str">
        <x:v>Manager/supplier lead</x:v>
      </x:c>
      <x:c r="G12" s="24" t="str">
        <x:v>Fintech/AI Finance</x:v>
      </x:c>
      <x:c r="H12" s="24" t="str">
        <x:v>P0</x:v>
      </x:c>
      <x:c r="I12" s="24" t="str">
        <x:v>Approve</x:v>
      </x:c>
      <x:c r="J12" s="24" t="str">
        <x:v>C3｜Outreach Ready</x:v>
      </x:c>
      <x:c r="K12" s="24" t="str"/>
      <x:c r="L12" s="24" t="str">
        <x:v>info@thoughtleaders.io</x:v>
      </x:c>
      <x:c r="M12" s="24" t="str">
        <x:v>待索取 roster / 关系标签</x:v>
      </x:c>
      <x:c r="N12" s="24" t="str">
        <x:v>待授权建联</x:v>
      </x:c>
      <x:c r="O12" s="24" t="str">
        <x:v>采购角色：Manager/supplier lead
关系边界：YouTube sponsorship agency / network; Professor G verified partner
依据：v1.1 audit reversal：ThoughtLeaders 官方品牌页证明可执行 YouTube sponsorship 采购服务；官方 creator 页将 approved creator Professor G 标为 verified partner。按新版供应商规则，一个高度匹配 creator 关系即可保留并进入机构建联。；90天活跃 N/A — route role；E3；核验 2026-09-04T12:41:48+08:00
下一步：Finance/investing/fintech creator shortlist; verified partner status; audience overlap data; pricing model; rates; minimum budget; one-off booking; ownership of relationships; lead time and availability.</x:v>
      </x:c>
      <x:c r="P12" s="24" t="str">
        <x:v>SUP-020</x:v>
      </x:c>
    </x:row>
    <x:row r="13" ht="72" customHeight="1">
      <x:c r="A13" s="24" t="str">
        <x:v>Official web</x:v>
      </x:c>
      <x:c r="B13" s="24" t="str">
        <x:v>WOLF Financial</x:v>
      </x:c>
      <x:c r="C13" s="24" t="str">
        <x:v>https://wolf.financial/</x:v>
      </x:c>
      <x:c r="D13" s="24" t="str">
        <x:v>英文</x:v>
      </x:c>
      <x:c r="E13" s="24" t="str">
        <x:v>美国（受众地域按原证据置信度）</x:v>
      </x:c>
      <x:c r="F13" s="24" t="str">
        <x:v>Manager/supplier lead</x:v>
      </x:c>
      <x:c r="G13" s="24" t="str">
        <x:v>美股/市场评论; Trading/options; Crypto × Equity/新金融; Fintech/AI Finance</x:v>
      </x:c>
      <x:c r="H13" s="24" t="str">
        <x:v>P0</x:v>
      </x:c>
      <x:c r="I13" s="24" t="str">
        <x:v>Approve</x:v>
      </x:c>
      <x:c r="J13" s="24" t="str">
        <x:v>C3｜Outreach Ready</x:v>
      </x:c>
      <x:c r="K13" s="24" t="str"/>
      <x:c r="L13" s="24" t="str">
        <x:v>business@wolf.financial</x:v>
      </x:c>
      <x:c r="M13" s="24" t="str">
        <x:v>待索取 roster / 关系标签</x:v>
      </x:c>
      <x:c r="N13" s="24" t="str">
        <x:v>待授权建联</x:v>
      </x:c>
      <x:c r="O13" s="24" t="str">
        <x:v>采购角色：Manager/supplier lead
关系边界：Finance creator marketing/distribution agency and network; per-creator representation unverified
依据：官方材料已证明其为 finance-focused creator marketing/distribution supplier：提供 creator-led campaigns、内容与分发服务，公开 business 邮箱、客户案例、典型项目周期与预算指导。具名 managed roster 仍未公开，但按修订规则这不再阻止供应商进入 Approve；具体 representation 必须逐人确认。；90天活跃 N/A — route role；E3；核验 2026-09-04T12:41:48+08:00
下一步：Named current finance creator shortlist; represented vs network/featured status; finance vs crypto mix; platform/audience fields; actual pilot proposal; rates/minimum budget; exclusivity; individual booking; next-eight-week availability.</x:v>
      </x:c>
      <x:c r="P13" s="24" t="str">
        <x:v>SUP-019</x:v>
      </x:c>
    </x:row>
    <x:row r="14" ht="72" customHeight="1">
      <x:c r="A14" s="24" t="str">
        <x:v>Podcast; 微信公众号; Bilibili; 小红书</x:v>
      </x:c>
      <x:c r="B14" s="24" t="str">
        <x:v>JustPod</x:v>
      </x:c>
      <x:c r="C14" s="24" t="str">
        <x:v>https://justpodmedia.com/</x:v>
      </x:c>
      <x:c r="D14" s="24" t="str">
        <x:v>中文</x:v>
      </x:c>
      <x:c r="E14" s="24" t="str">
        <x:v>中国内地; 香港/大中华; 全球/跨境</x:v>
      </x:c>
      <x:c r="F14" s="24" t="str">
        <x:v>Manager/supplier lead</x:v>
      </x:c>
      <x:c r="G14" s="24" t="str">
        <x:v>Retail investing; Fintech/AI Finance; 商业/宏观（finance subset 待取 roster）</x:v>
      </x:c>
      <x:c r="H14" s="24" t="str">
        <x:v>P0</x:v>
      </x:c>
      <x:c r="I14" s="24" t="str">
        <x:v>Approve</x:v>
      </x:c>
      <x:c r="J14" s="24" t="str">
        <x:v>C3｜Outreach Ready</x:v>
      </x:c>
      <x:c r="K14" s="24" t="str"/>
      <x:c r="L14" s="24" t="str">
        <x:v>ad@justpod.fm</x:v>
      </x:c>
      <x:c r="M14" s="24" t="str">
        <x:v>待索取 roster / 关系标签</x:v>
      </x:c>
      <x:c r="N14" s="24" t="str">
        <x:v>待授权建联</x:v>
      </x:c>
      <x:c r="O14" s="24" t="str">
        <x:v>采购角色：Manager/supplier lead
关系边界：需由机构回复确认 managed / represented / direct access / resale
依据：具备可执行中文播客批量采购能力、明确商务邮箱和金融机构案例，适合补 Newsletter/Podcast 供应路线。；90天活跃 Official route checked；E3；核验 2026-09-06
下一步：finance/business/technology show roster；节目级受众；贴片/host-read/单集定制/系列企划；报价；最低预算；档期；单节目采购；品类限制。</x:v>
      </x:c>
      <x:c r="P14" s="24" t="str">
        <x:v>CN-SUP-003</x:v>
      </x:c>
    </x:row>
    <x:row r="15" ht="72" customHeight="1">
      <x:c r="A15" s="24" t="str">
        <x:v>Podcast; 小宇宙; Apple Podcasts; 微信</x:v>
      </x:c>
      <x:c r="B15" s="24" t="str">
        <x:v>声动活泼</x:v>
      </x:c>
      <x:c r="C15" s="24" t="str">
        <x:v>https://shengfm.cn/</x:v>
      </x:c>
      <x:c r="D15" s="24" t="str">
        <x:v>中文</x:v>
      </x:c>
      <x:c r="E15" s="24" t="str">
        <x:v>中国内地; 香港/大中华; 全球/跨境</x:v>
      </x:c>
      <x:c r="F15" s="24" t="str">
        <x:v>Newsletter/podcast/media route</x:v>
      </x:c>
      <x:c r="G15" s="24" t="str">
        <x:v>Retail investing; Fintech/AI Finance; 商业/科技</x:v>
      </x:c>
      <x:c r="H15" s="24" t="str">
        <x:v>P0</x:v>
      </x:c>
      <x:c r="I15" s="24" t="str">
        <x:v>Approve</x:v>
      </x:c>
      <x:c r="J15" s="24" t="str">
        <x:v>C3｜Outreach Ready</x:v>
      </x:c>
      <x:c r="K15" s="24" t="str"/>
      <x:c r="L15" s="24" t="str">
        <x:v>https://eg76rdcl6g.feishu.cn/share/base/shrcnXTIc2pXMpAjDLiNVsXN3zc; business@shengfm.cn</x:v>
      </x:c>
      <x:c r="M15" s="24" t="str">
        <x:v>待索取 roster / 关系标签</x:v>
      </x:c>
      <x:c r="N15" s="24" t="str">
        <x:v>待授权建联</x:v>
      </x:c>
      <x:c r="O15" s="24" t="str">
        <x:v>采购角色：Newsletter/podcast/media route
关系边界：声动活泼 produces and bundles its own podcast/media inventory. It is a podcast network/creator-led media supplier, not a general creator manager or MCN.
依据：有公开商务小队、可观察 sponsor 案例和投资/商业节目，可作为中文播客媒体采购路线保留。；90天活跃 Official route checked；E3；核验 2026-09-06
下一步：《不止金钱》及 finance/fintech 相邻节目当前命名库存；节目级受众；四类公开形式的节目适配与组合采购；报价/最低预算；未来 8 周档期；金融品类及合规限制。</x:v>
      </x:c>
      <x:c r="P15" s="24" t="str">
        <x:v>CN-SUP-004</x:v>
      </x:c>
    </x:row>
    <x:row r="16" ht="72" customHeight="1">
      <x:c r="A16" s="24" t="str">
        <x:v>Podcast; Apple Podcasts; Spotify; KKBOX</x:v>
      </x:c>
      <x:c r="B16" s="24" t="str">
        <x:v>Firstory Ads</x:v>
      </x:c>
      <x:c r="C16" s="24" t="str">
        <x:v>https://firstory.me/zh/advertiser</x:v>
      </x:c>
      <x:c r="D16" s="24" t="str">
        <x:v>中文</x:v>
      </x:c>
      <x:c r="E16" s="24" t="str">
        <x:v>台湾; 香港/大中华; 全球/跨境</x:v>
      </x:c>
      <x:c r="F16" s="24" t="str">
        <x:v>podcast advertising network/media supplier</x:v>
      </x:c>
      <x:c r="G16" s="24" t="str">
        <x:v>Retail investing; 美股/市场评论; Fintech/AI Finance；Trading/options; 商业/科技</x:v>
      </x:c>
      <x:c r="H16" s="24" t="str">
        <x:v>P0</x:v>
      </x:c>
      <x:c r="I16" s="24" t="str">
        <x:v>Approve</x:v>
      </x:c>
      <x:c r="J16" s="24" t="str">
        <x:v>C3｜Outreach Ready</x:v>
      </x:c>
      <x:c r="K16" s="24" t="str"/>
      <x:c r="L16" s="24" t="str">
        <x:v>https://i5zbyo1do4v.typeform.com/to/B3AWdR1v</x:v>
      </x:c>
      <x:c r="M16" s="24" t="str">
        <x:v>待索取 roster / 关系标签</x:v>
      </x:c>
      <x:c r="N16" s="24" t="str">
        <x:v>待授权建联</x:v>
      </x:c>
      <x:c r="O16" s="24" t="str">
        <x:v>采购角色：Newsletter/podcast/media route
关系边界：Firstory sells advertising/network inventory; it is not recorded as manager or exclusive representative of the listed shows.
依据：The route combines named finance inventory, scalable buying mechanics, current brand cases and an executable advertiser form.；90天活跃 Current 2026 advertiser inventory and case pages observed；E3；核验 2026-09-06
下一步：Current finance/business inventory; named-show selection; targetable audience fields; impressions; pre/mid/exclusive DAI rates; minimum spend; campaign dates; reporting; finance-product restrictions; sales kit.</x:v>
      </x:c>
      <x:c r="P16" s="24" t="str">
        <x:v>CN-SUP-009</x:v>
      </x:c>
    </x:row>
    <x:row r="17" ht="72" customHeight="1">
      <x:c r="A17" s="24" t="str">
        <x:v>Podcast; SoundOn; Apple Podcasts; Spotify</x:v>
      </x:c>
      <x:c r="B17" s="24" t="str">
        <x:v>SoundOn</x:v>
      </x:c>
      <x:c r="C17" s="24" t="str">
        <x:v>https://podcasters.soundon.fm/</x:v>
      </x:c>
      <x:c r="D17" s="24" t="str">
        <x:v>中文</x:v>
      </x:c>
      <x:c r="E17" s="24" t="str">
        <x:v>台湾; 香港/大中华; 全球/跨境</x:v>
      </x:c>
      <x:c r="F17" s="24" t="str">
        <x:v>podcast media/ad supplier</x:v>
      </x:c>
      <x:c r="G17" s="24" t="str">
        <x:v>Fintech/AI Finance; Crypto × Equity/新金融; Retail investing；美股/市场评论; 商业/科技</x:v>
      </x:c>
      <x:c r="H17" s="24" t="str">
        <x:v>P0</x:v>
      </x:c>
      <x:c r="I17" s="24" t="str">
        <x:v>Approve</x:v>
      </x:c>
      <x:c r="J17" s="24" t="str">
        <x:v>C3｜Outreach Ready</x:v>
      </x:c>
      <x:c r="K17" s="24" t="str"/>
      <x:c r="L17" s="24" t="str">
        <x:v>sales@soundon.fm</x:v>
      </x:c>
      <x:c r="M17" s="24" t="str">
        <x:v>待索取 roster / 关系标签</x:v>
      </x:c>
      <x:c r="N17" s="24" t="str">
        <x:v>待授权建联</x:v>
      </x:c>
      <x:c r="O17" s="24" t="str">
        <x:v>采购角色：Newsletter/podcast/media route
关系边界：SoundOn's sales authority is directly observed for SoundOn originals and network ads; hosting alone does not establish authority for every show.
依据：A live sales route and current named finance-adjacent original program make SoundOn more than a generic hosting platform.；90天活跃 Current platform page and active 2026 original-program listing observed；E3；核验 2026-09-06
下一步：Current finance/fintech/crypto-adjacent originals and ad inventory; relationship type; host-read/custom/DAI formats; audience; rates/minimum spend; eight-week availability; category conflicts; reporting.</x:v>
      </x:c>
      <x:c r="P17" s="24" t="str">
        <x:v>CN-SUP-010</x:v>
      </x:c>
    </x:row>
    <x:row r="18" ht="72" customHeight="1">
      <x:c r="A18" s="24" t="str">
        <x:v>Podcast; YouTube; Firstory; Apple Podcasts</x:v>
      </x:c>
      <x:c r="B18" s="24" t="str">
        <x:v>月城南廣告 Lumos Ads</x:v>
      </x:c>
      <x:c r="C18" s="24" t="str">
        <x:v>https://www.lumosads.biz/</x:v>
      </x:c>
      <x:c r="D18" s="24" t="str">
        <x:v>中文</x:v>
      </x:c>
      <x:c r="E18" s="24" t="str">
        <x:v>台湾; 香港/大中华</x:v>
      </x:c>
      <x:c r="F18" s="24" t="str">
        <x:v>podcast sales agency/supplier</x:v>
      </x:c>
      <x:c r="G18" s="24" t="str">
        <x:v>美股/市场评论; Retail investing; Fintech/AI Finance；Trading/options; 商业/科技</x:v>
      </x:c>
      <x:c r="H18" s="24" t="str">
        <x:v>P0</x:v>
      </x:c>
      <x:c r="I18" s="24" t="str">
        <x:v>Approve</x:v>
      </x:c>
      <x:c r="J18" s="24" t="str">
        <x:v>C3｜Outreach Ready</x:v>
      </x:c>
      <x:c r="K18" s="24" t="str"/>
      <x:c r="L18" s="24" t="str">
        <x:v>business@lumosads.biz; podcast@lumosads.biz</x:v>
      </x:c>
      <x:c r="M18" s="24" t="str">
        <x:v>待索取 roster / 关系标签</x:v>
      </x:c>
      <x:c r="N18" s="24" t="str">
        <x:v>待授权建联</x:v>
      </x:c>
      <x:c r="O18" s="24" t="str">
        <x:v>采购角色：Manager/supplier lead
关系边界：月城南 is verified as a Podcast sales/production agency; finance-program management, exclusivity and authority to quote for each show require confirmation.
依据：Unlike a generic agency, 月城南 has current finance-product execution evidence, specialized Podcast sales services and named public contacts.；90天活跃 Current 2026 agency site and 2026 finance campaign evidence observed；E3；核验 2026-09-06
下一步：Current finance/business/technology show list; direct/indirect/production relationship; host-read/custom/DAI formats; audience; rates; minimum budget; category conflicts; eight-week availability; reporting.</x:v>
      </x:c>
      <x:c r="P18" s="24" t="str">
        <x:v>CN-SUP-011</x:v>
      </x:c>
    </x:row>
    <x:row r="19" ht="72" customHeight="1">
      <x:c r="A19" s="24" t="str">
        <x:v>Web; App; Newsletter; Audio/Video; Events</x:v>
      </x:c>
      <x:c r="B19" s="24" t="str">
        <x:v>财新传媒 PIC</x:v>
      </x:c>
      <x:c r="C19" s="24" t="str">
        <x:v>https://promote.caixin.com/</x:v>
      </x:c>
      <x:c r="D19" s="24" t="str">
        <x:v>中文</x:v>
      </x:c>
      <x:c r="E19" s="24" t="str">
        <x:v>中国内地; 香港/大中华; 全球/跨境</x:v>
      </x:c>
      <x:c r="F19" s="24" t="str">
        <x:v>Newsletter/podcast/media route</x:v>
      </x:c>
      <x:c r="G19" s="24" t="str">
        <x:v>美股/市场评论; Fintech/AI Finance; 全球宏观</x:v>
      </x:c>
      <x:c r="H19" s="24" t="str">
        <x:v>P0</x:v>
      </x:c>
      <x:c r="I19" s="24" t="str">
        <x:v>Approve</x:v>
      </x:c>
      <x:c r="J19" s="24" t="str">
        <x:v>C3｜Outreach Ready</x:v>
      </x:c>
      <x:c r="K19" s="24" t="str"/>
      <x:c r="L19" s="24" t="str">
        <x:v>zhyx@caixin.com</x:v>
      </x:c>
      <x:c r="M19" s="24" t="str">
        <x:v>待索取 roster / 关系标签</x:v>
      </x:c>
      <x:c r="N19" s="24" t="str">
        <x:v>待授权建联</x:v>
      </x:c>
      <x:c r="O19" s="24" t="str">
        <x:v>采购角色：Newsletter/podcast/media route
关系边界：Caixin PIC is a media/integrated-marketing procurement route. KOL collaboration is a service label, not proof that Caixin manages or exclusively represents named creators.
依据：金融垂直度与内容可信度高，且拥有可执行整合营销/KOL合作入口，可补中国内地高信任媒体供给。；90天活跃 Official route checked；E3；核验 2026-09-06
下一步：音视频访谈、KOL、栏目/会议和内容合作库存；受众；交付；报价/最低预算；档期；金融品类与合规限制。</x:v>
      </x:c>
      <x:c r="P19" s="24" t="str">
        <x:v>CN-SUP-002</x:v>
      </x:c>
    </x:row>
    <x:row r="20" ht="72" customHeight="1">
      <x:c r="A20" s="24" t="str">
        <x:v>Web; App; TV; Radio; WeChat; YouTube</x:v>
      </x:c>
      <x:c r="B20" s="24" t="str">
        <x:v>第一财经 / Yicai</x:v>
      </x:c>
      <x:c r="C20" s="24" t="str">
        <x:v>https://www.yicai.com/others/aboutus.html</x:v>
      </x:c>
      <x:c r="D20" s="24" t="str">
        <x:v>中文; 英文</x:v>
      </x:c>
      <x:c r="E20" s="24" t="str">
        <x:v>中国内地; 香港/大中华; 全球/跨境</x:v>
      </x:c>
      <x:c r="F20" s="24" t="str">
        <x:v>finance owned-media/content supplier</x:v>
      </x:c>
      <x:c r="G20" s="24" t="str">
        <x:v>美股/市场评论; Retail investing; Fintech/AI Finance；Trading/options; Crypto × Equity/新金融; 宏观/专业金融</x:v>
      </x:c>
      <x:c r="H20" s="24" t="str">
        <x:v>P0</x:v>
      </x:c>
      <x:c r="I20" s="24" t="str">
        <x:v>Approve</x:v>
      </x:c>
      <x:c r="J20" s="24" t="str">
        <x:v>C3｜Outreach Ready</x:v>
      </x:c>
      <x:c r="K20" s="24" t="str"/>
      <x:c r="L20" s="24" t="str">
        <x:v>wangyun@yicai.com</x:v>
      </x:c>
      <x:c r="M20" s="24" t="str">
        <x:v>待索取 roster / 关系标签</x:v>
      </x:c>
      <x:c r="N20" s="24" t="str">
        <x:v>待授权建联</x:v>
      </x:c>
      <x:c r="O20" s="24" t="str">
        <x:v>采购角色：Newsletter/podcast/media route
关系边界：Yicai is a publisher and owned-media/content supplier. Its programs and hosts are not recorded as independently managed creators.
依据：A current dedicated finance-business contact, broad finance audience, owned cross-platform inventory and documented finance services make this a high-value mainland/cross-border procurement route.；90天活跃 Current official group, service and business-contact pages observed；E3；核验 2026-09-06
下一步：Current media kit; available finance programs/hosts and relationship labels; WeChat/Video Accounts/web/radio/TV/YouTube/English inventory; audience; formats; rates/minimum budget; production lead time; host endorsement rights; finance-product restrictions; ne…</x:v>
      </x:c>
      <x:c r="P20" s="24" t="str">
        <x:v>CN-SUP-013</x:v>
      </x:c>
    </x:row>
    <x:row r="21" ht="72" customHeight="1">
      <x:c r="A21" s="24" t="str">
        <x:v>Web; App; WeChat; WeChat Channels; Mini Program; Events</x:v>
      </x:c>
      <x:c r="B21" s="24" t="str">
        <x:v>零壹财经 / 01Caijing</x:v>
      </x:c>
      <x:c r="C21" s="24" t="str">
        <x:v>https://www.01caijing.com/business.htm</x:v>
      </x:c>
      <x:c r="D21" s="24" t="str">
        <x:v>中文; 英文</x:v>
      </x:c>
      <x:c r="E21" s="24" t="str">
        <x:v>中国内地; 香港/大中华; 全球/跨境</x:v>
      </x:c>
      <x:c r="F21" s="24" t="str">
        <x:v>fintech finance owned-media/research supplier</x:v>
      </x:c>
      <x:c r="G21" s="24" t="str">
        <x:v>Fintech/AI Finance; Crypto × Equity/新金融；Retail investing; 美股/市场评论; 专业金融</x:v>
      </x:c>
      <x:c r="H21" s="24" t="str">
        <x:v>P0</x:v>
      </x:c>
      <x:c r="I21" s="24" t="str">
        <x:v>Approve</x:v>
      </x:c>
      <x:c r="J21" s="24" t="str">
        <x:v>C3｜Outreach Ready</x:v>
      </x:c>
      <x:c r="K21" s="24" t="str"/>
      <x:c r="L21" s="24" t="str">
        <x:v>marketing@01caijing.com</x:v>
      </x:c>
      <x:c r="M21" s="24" t="str">
        <x:v>待索取 roster / 关系标签</x:v>
      </x:c>
      <x:c r="N21" s="24" t="str">
        <x:v>待授权建联</x:v>
      </x:c>
      <x:c r="O21" s="24" t="str">
        <x:v>采购角色：Newsletter/podcast/media route
关系边界：01Caijing is an owned-media/research/content supplier. Its vertical brands are owned properties, not third-party managed creators.
依据：This is a focused fintech/AI Finance and digital-finance media supplier with explicit business contacts and local WeChat/Video Accounts distribution.；90天活跃 Current official business, matrix and contact pages observed；E3；核验 2026-09-06
下一步：Current media kit and owned-brand inventory; WeChat/Video Accounts/web/app/event formats; audience and market; native-content disclosure; rates/minimum budget; lead time; finance-product restrictions; next eight-week availability; any separately relationship-…</x:v>
      </x:c>
      <x:c r="P21" s="24" t="str">
        <x:v>CN-SUP-015</x:v>
      </x:c>
    </x:row>
    <x:row r="22" ht="72" customHeight="1">
      <x:c r="A22" s="24" t="str">
        <x:v>Web; App; YouTube; 社群</x:v>
      </x:c>
      <x:c r="B22" s="24" t="str">
        <x:v>CMoney 合作伙伴事业群</x:v>
      </x:c>
      <x:c r="C22" s="24" t="str">
        <x:v>https://www.cmoney.tw/careers/aboutus</x:v>
      </x:c>
      <x:c r="D22" s="24" t="str">
        <x:v>中文</x:v>
      </x:c>
      <x:c r="E22" s="24" t="str">
        <x:v>香港/大中华; 全球/跨境; 美国; 台湾</x:v>
      </x:c>
      <x:c r="F22" s="24" t="str">
        <x:v>Manager/supplier lead</x:v>
      </x:c>
      <x:c r="G22" s="24" t="str">
        <x:v>美股/市场评论; Retail investing; Trading/options; Fintech/AI Finance</x:v>
      </x:c>
      <x:c r="H22" s="24" t="str">
        <x:v>P0</x:v>
      </x:c>
      <x:c r="I22" s="24" t="str">
        <x:v>Approve</x:v>
      </x:c>
      <x:c r="J22" s="24" t="str">
        <x:v>C3｜Outreach Ready</x:v>
      </x:c>
      <x:c r="K22" s="24" t="str"/>
      <x:c r="L22" s="24" t="str">
        <x:v>money_mkt@cmoney.com.tw</x:v>
      </x:c>
      <x:c r="M22" s="24" t="str">
        <x:v>待索取 roster / 关系标签</x:v>
      </x:c>
      <x:c r="N22" s="24" t="str">
        <x:v>待授权建联</x:v>
      </x:c>
      <x:c r="O22" s="24" t="str">
        <x:v>采购角色：Manager/supplier lead
关系边界：需由机构回复确认 managed / represented / direct access / resale
依据：具备明确财经垂直创作者合作能力、具名案例及公开商务入口，是当前中文供应商缺口中信息价值最高的首批路线。；90天活跃 Official route checked；E3；核验 2026-09-06
下一步：当前可对品牌开放的财经 creator/media inventory；签约/联营/单次合作关系；中文/英文与市场覆盖；平台、形式、报价、最低预算、单人合作、档期与品类限制。</x:v>
      </x:c>
      <x:c r="P22" s="24" t="str">
        <x:v>CN-SUP-001</x:v>
      </x:c>
    </x:row>
    <x:row r="23" ht="72" customHeight="1">
      <x:c r="A23" s="24" t="str">
        <x:v>X; Telegram; YouTube; TikTok; Web</x:v>
      </x:c>
      <x:c r="B23" s="24" t="str">
        <x:v>ChainPeak</x:v>
      </x:c>
      <x:c r="C23" s="24" t="str">
        <x:v>https://www.chainpeak.io/</x:v>
      </x:c>
      <x:c r="D23" s="24" t="str">
        <x:v>中文; 英文; 多语言</x:v>
      </x:c>
      <x:c r="E23" s="24" t="str">
        <x:v>香港/大中华; 全球/跨境; 东南亚; 日韩; MENA; LATAM; Africa</x:v>
      </x:c>
      <x:c r="F23" s="24" t="str">
        <x:v>Web3 KOL agency/supplier</x:v>
      </x:c>
      <x:c r="G23" s="24" t="str">
        <x:v>Crypto × Equity/新金融；Fintech/AI Finance; RWA; payments; exchange/wallet growth</x:v>
      </x:c>
      <x:c r="H23" s="24" t="str">
        <x:v>P0</x:v>
      </x:c>
      <x:c r="I23" s="24" t="str">
        <x:v>Approve</x:v>
      </x:c>
      <x:c r="J23" s="24" t="str">
        <x:v>C3｜Outreach Ready</x:v>
      </x:c>
      <x:c r="K23" s="24" t="str"/>
      <x:c r="L23" s="24" t="str">
        <x:v>https://www.chainpeak.io/contact/; https://t.me/CryptoKOLL</x:v>
      </x:c>
      <x:c r="M23" s="24" t="str">
        <x:v>待索取 roster / 关系标签</x:v>
      </x:c>
      <x:c r="N23" s="24" t="str">
        <x:v>待授权建联</x:v>
      </x:c>
      <x:c r="O23" s="24" t="str">
        <x:v>采购角色：Manager/supplier lead
关系边界：Verified Web3 KOL marketing agency/supplier. Individual representation, exclusivity and management rights are unverified.
依据：This is a purpose-matched agency with explicit KOL procurement, Chinese-speaking inventory claims, official commercial intake and public campaign/rate structure. It is materially more useful than a generic agency directory.；90天活跃 Yes — official site and 2026 service content current；E3；核验 2026-09-06
下一步：Named Chinese/English RWA, tokenized-equity, AI Finance, payments, exchange/wallet and cross-border finance roster; managed/represented/direct-access/resold labels; creator-level audience, formats, rates, minimums, fees, single-creator buying, exclusivity, le…</x:v>
      </x:c>
      <x:c r="P23" s="24" t="str">
        <x:v>CN-SUP-018</x:v>
      </x:c>
    </x:row>
    <x:row r="24" ht="72" customHeight="1">
      <x:c r="A24" s="24" t="str">
        <x:v>YouTube; Instagram; PressPlay Academy Web/App</x:v>
      </x:c>
      <x:c r="B24" s="24" t="str">
        <x:v>PressPlay / PressPlay Next</x:v>
      </x:c>
      <x:c r="C24" s="24" t="str">
        <x:v>https://pressplay.one/business/</x:v>
      </x:c>
      <x:c r="D24" s="24" t="str">
        <x:v>中文; 英文</x:v>
      </x:c>
      <x:c r="E24" s="24" t="str">
        <x:v>台湾; 香港/大中华; 全球/跨境</x:v>
      </x:c>
      <x:c r="F24" s="24" t="str">
        <x:v>creator agency/content supplier</x:v>
      </x:c>
      <x:c r="G24" s="24" t="str">
        <x:v>Retail investing; 美股/市场评论; Trading/options；Fintech/AI Finance; 商业/职业教育</x:v>
      </x:c>
      <x:c r="H24" s="24" t="str">
        <x:v>P0</x:v>
      </x:c>
      <x:c r="I24" s="24" t="str">
        <x:v>Approve</x:v>
      </x:c>
      <x:c r="J24" s="24" t="str">
        <x:v>C3｜Outreach Ready</x:v>
      </x:c>
      <x:c r="K24" s="24" t="str"/>
      <x:c r="L24" s="24" t="str">
        <x:v>https://pressplay.one/contact/</x:v>
      </x:c>
      <x:c r="M24" s="24" t="str">
        <x:v>待索取 roster / 关系标签</x:v>
      </x:c>
      <x:c r="N24" s="24" t="str">
        <x:v>待授权建联</x:v>
      </x:c>
      <x:c r="O24" s="24" t="str">
        <x:v>采购角色：Manager/supplier lead
关系边界：PressPlay Next is the creator-agency unit; PressPlay Academy finance authors are course/content partners unless management is separately confirmed.
依据：The company has an executable brand/creator route, verified agency capability and a concrete finance creator ecosystem, making it the strongest new Taiwan/Hong Kong institutional lead.；90天活跃 Official 2026 business and finance-catalog pages observed；E3；核验 2026-09-06
下一步：Current finance/investing roster with managed/exclusive/non-exclusive/Academy/course-partner labels; platforms, markets, audience, formats, rates, minimum budget, individual bookings, category conflicts and next eight-week availability.</x:v>
      </x:c>
      <x:c r="P24" s="24" t="str">
        <x:v>CN-SUP-008</x:v>
      </x:c>
    </x:row>
    <x:row r="25" ht="72" customHeight="1">
      <x:c r="A25" s="24" t="str">
        <x:v>雪球 App/Web; 微信</x:v>
      </x:c>
      <x:c r="B25" s="24" t="str">
        <x:v>雪球</x:v>
      </x:c>
      <x:c r="C25" s="24" t="str">
        <x:v>https://xueqiu.com/</x:v>
      </x:c>
      <x:c r="D25" s="24" t="str">
        <x:v>中文</x:v>
      </x:c>
      <x:c r="E25" s="24" t="str">
        <x:v>中国内地; 香港/大中华; 美国（市场内容）</x:v>
      </x:c>
      <x:c r="F25" s="24" t="str">
        <x:v>Newsletter/podcast/media route</x:v>
      </x:c>
      <x:c r="G25" s="24" t="str">
        <x:v>美股/市场评论; Retail investing; Trading/options; Fintech/AI Finance</x:v>
      </x:c>
      <x:c r="H25" s="24" t="str">
        <x:v>P1</x:v>
      </x:c>
      <x:c r="I25" s="24" t="str">
        <x:v>Approve</x:v>
      </x:c>
      <x:c r="J25" s="24" t="str">
        <x:v>C3｜Outreach Ready</x:v>
      </x:c>
      <x:c r="K25" s="24" t="str"/>
      <x:c r="L25" s="24" t="str">
        <x:v>ad@xueqiu.com</x:v>
      </x:c>
      <x:c r="M25" s="24" t="str">
        <x:v>待索取 roster / 关系标签</x:v>
      </x:c>
      <x:c r="N25" s="24" t="str">
        <x:v>待授权建联</x:v>
      </x:c>
      <x:c r="O25" s="24" t="str">
        <x:v>采购角色：Newsletter/podcast/media route
关系边界：Xueqiu is an investor platform/media route. It does not become a creator supplier, manager or roster owner until named inventory and relationship rights are confirmed.
依据：目标受众高度匹配，商务入口明确；作为媒体/平台路线保留，但 KOL 采购能力需通过首封询问确认。；90天活跃 Official route checked；E3；核验 2026-09-06
下一步：是否提供命名 creator/KOL integrations；平台广告库存；受众定向；创作者关系性质；报价；最低预算；档期；合规限制。</x:v>
      </x:c>
      <x:c r="P25" s="24" t="str">
        <x:v>CN-SUP-005</x:v>
      </x:c>
    </x:row>
    <x:row r="26" ht="72" customHeight="1">
      <x:c r="A26" s="24" t="str">
        <x:v>Douyin; Bilibili; WeChat; Xiaohongshu; Weibo; Toutiao</x:v>
      </x:c>
      <x:c r="B26" s="24" t="str">
        <x:v>砍柴书院 MCN</x:v>
      </x:c>
      <x:c r="C26" s="24" t="str">
        <x:v>https://space.bilibili.com/1858208733</x:v>
      </x:c>
      <x:c r="D26" s="24" t="str">
        <x:v>中文</x:v>
      </x:c>
      <x:c r="E26" s="24" t="str">
        <x:v>中国内地</x:v>
      </x:c>
      <x:c r="F26" s="24" t="str">
        <x:v>mainland knowledge/finance MCN and content supplier</x:v>
      </x:c>
      <x:c r="G26" s="24" t="str">
        <x:v>Retail investing; 美股/市场评论；Fintech/AI Finance; 商业/科技; 宏观/政经</x:v>
      </x:c>
      <x:c r="H26" s="24" t="str">
        <x:v>P1</x:v>
      </x:c>
      <x:c r="I26" s="24" t="str">
        <x:v>Approve</x:v>
      </x:c>
      <x:c r="J26" s="24" t="str">
        <x:v>C2｜Outreach Ready</x:v>
      </x:c>
      <x:c r="K26" s="24" t="str"/>
      <x:c r="L26" s="24" t="str">
        <x:v>WeChat: likanchai1985</x:v>
      </x:c>
      <x:c r="M26" s="24" t="str">
        <x:v>待索取 roster / 关系标签</x:v>
      </x:c>
      <x:c r="N26" s="24" t="str">
        <x:v>待授权建联</x:v>
      </x:c>
      <x:c r="O26" s="24" t="str">
        <x:v>采购角色：Manager/supplier lead
关系边界：砍柴书院 is approved as an institution-level MCN/content supplier. 李砍柴 is the founder/creator; 毒sir财经 is a named operated/incubated finance IP. Neither is automatically approved as an individua…
依据：Current platform and 2026 operating evidence now establish a real MCN, direct team involvement with named finance IPs and a public founder-level cooperation route. That is sufficient for verification outreach, while creator buyability, exclusivity, …；90天活跃 Current founder Bilibili profile activity plus 2026 MCN operations and strategic-cooperation evidence observed；E3；核验 2026-09-06
下一步：Exact current contracting entity and business owner; 2026 finance roster; owned/incubated/signed/exclusive/collaborating labels; whether 李砍柴 and 毒sir财经 can be booked individually; platforms, audience, formats, rates/minimum budget, lead time, financial-catego…</x:v>
      </x:c>
      <x:c r="P26" s="24" t="str">
        <x:v>CN-SUP-Q001</x:v>
      </x:c>
    </x:row>
    <x:row r="27" ht="72" customHeight="1">
      <x:c r="A27" s="24" t="str">
        <x:v>Official web</x:v>
      </x:c>
      <x:c r="B27" s="24" t="str">
        <x:v>Money News Network</x:v>
      </x:c>
      <x:c r="C27" s="24" t="str">
        <x:v>https://moneynewsnetwork.com/</x:v>
      </x:c>
      <x:c r="D27" s="24" t="str">
        <x:v>英文</x:v>
      </x:c>
      <x:c r="E27" s="24" t="str">
        <x:v>美国（受众地域按原证据置信度）</x:v>
      </x:c>
      <x:c r="F27" s="24" t="str">
        <x:v>Newsletter/podcast/media route</x:v>
      </x:c>
      <x:c r="G27" s="24" t="str">
        <x:v>Retail investing; 美股/市场评论; Fintech/AI Finance</x:v>
      </x:c>
      <x:c r="H27" s="24" t="str">
        <x:v>P1</x:v>
      </x:c>
      <x:c r="I27" s="24" t="str">
        <x:v>Approve</x:v>
      </x:c>
      <x:c r="J27" s="24" t="str">
        <x:v>C3｜Outreach Ready</x:v>
      </x:c>
      <x:c r="K27" s="24" t="str"/>
      <x:c r="L27" s="24" t="str">
        <x:v>partnerships@moneynewsnetwork.com</x:v>
      </x:c>
      <x:c r="M27" s="24" t="str">
        <x:v>待索取 roster / 关系标签</x:v>
      </x:c>
      <x:c r="N27" s="24" t="str">
        <x:v>待授权建联</x:v>
      </x:c>
      <x:c r="O27" s="24" t="str">
        <x:v>采购角色：Newsletter/podcast/media route
关系边界：无；应记为媒体采购路线。
依据：具名 finance media inventory、公开 partnership 邮箱与定制 fintech 案例，能形成 24–48 小时采购路径。；90天活跃 N/A — route role；E3；核验 2026-09-04T12:41:48+08:00
下一步：Current show inventory; host-read/dynamic/custom podcast/newsletter/social formats; audience by market; partnership kit; rates; minimum spend; availability; category restrictions.</x:v>
      </x:c>
      <x:c r="P27" s="24" t="str">
        <x:v>SUP-003</x:v>
      </x:c>
    </x:row>
    <x:row r="28" ht="72" customHeight="1">
      <x:c r="A28" s="24" t="str">
        <x:v>Official web</x:v>
      </x:c>
      <x:c r="B28" s="24" t="str">
        <x:v>Ramsey Network</x:v>
      </x:c>
      <x:c r="C28" s="24" t="str">
        <x:v>https://www.ramseysolutions.com/shows</x:v>
      </x:c>
      <x:c r="D28" s="24" t="str">
        <x:v>英文</x:v>
      </x:c>
      <x:c r="E28" s="24" t="str">
        <x:v>美国（受众地域按原证据置信度）</x:v>
      </x:c>
      <x:c r="F28" s="24" t="str">
        <x:v>Newsletter/podcast/media route</x:v>
      </x:c>
      <x:c r="G28" s="24" t="str">
        <x:v>Retail investing</x:v>
      </x:c>
      <x:c r="H28" s="24" t="str">
        <x:v>P1</x:v>
      </x:c>
      <x:c r="I28" s="24" t="str">
        <x:v>Approve</x:v>
      </x:c>
      <x:c r="J28" s="24" t="str">
        <x:v>C3｜Outreach Ready</x:v>
      </x:c>
      <x:c r="K28" s="24" t="str"/>
      <x:c r="L28" s="24" t="str">
        <x:v>https://www.ramseysolutions.com/sponsorships/ramsey-network</x:v>
      </x:c>
      <x:c r="M28" s="24" t="str">
        <x:v>待索取 roster / 关系标签</x:v>
      </x:c>
      <x:c r="N28" s="24" t="str">
        <x:v>待授权建联</x:v>
      </x:c>
      <x:c r="O28" s="24" t="str">
        <x:v>采购角色：Newsletter/podcast/media route
关系边界：无；自有媒体库存。
依据：虽不是 manager，但作为 media route 有明确美国个人金融受众和可执行广告路径。；90天活跃 N/A — route role；E3；核验 2026-09-04T12:41:48+08:00
下一步：Current show inventory; local/national options; endorsement and category rules; audience; rates; minimum budget; availability; single-show purchase.</x:v>
      </x:c>
      <x:c r="P28" s="24" t="str">
        <x:v>SUP-025</x:v>
      </x:c>
    </x:row>
    <x:row r="29" ht="72" customHeight="1">
      <x:c r="A29" s="24" t="str">
        <x:v>Official web</x:v>
      </x:c>
      <x:c r="B29" s="24" t="str">
        <x:v>The Investor’s Podcast Network</x:v>
      </x:c>
      <x:c r="C29" s="24" t="str">
        <x:v>https://www.theinvestorspodcast.com/</x:v>
      </x:c>
      <x:c r="D29" s="24" t="str">
        <x:v>英文</x:v>
      </x:c>
      <x:c r="E29" s="24" t="str">
        <x:v>美国（受众地域按原证据置信度）</x:v>
      </x:c>
      <x:c r="F29" s="24" t="str">
        <x:v>Newsletter/podcast/media route</x:v>
      </x:c>
      <x:c r="G29" s="24" t="str">
        <x:v>美股/市场评论; Retail investing; Crypto × Equity/新金融</x:v>
      </x:c>
      <x:c r="H29" s="24" t="str">
        <x:v>P1</x:v>
      </x:c>
      <x:c r="I29" s="24" t="str">
        <x:v>Approve</x:v>
      </x:c>
      <x:c r="J29" s="24" t="str">
        <x:v>C3｜Outreach Ready</x:v>
      </x:c>
      <x:c r="K29" s="24" t="str"/>
      <x:c r="L29" s="24" t="str">
        <x:v>https://www.theinvestorspodcast.com/sponsors/</x:v>
      </x:c>
      <x:c r="M29" s="24" t="str">
        <x:v>待索取 roster / 关系标签</x:v>
      </x:c>
      <x:c r="N29" s="24" t="str">
        <x:v>待授权建联</x:v>
      </x:c>
      <x:c r="O29" s="24" t="str">
        <x:v>采购角色：Newsletter/podcast/media route
关系边界：无；媒体网络路线。
依据：明确的投资媒体库存与 sponsor 路径，适合作为美股/投资研究媒体 route。；90天活跃 N/A — route role；E3；核验 2026-09-04T12:41:48+08:00
下一步：Advertising kit; show/episode inventory; 60-second podcast, newsletter and YouTube formats; audience geography; rates; minimum spend; availability; single-show purchase.</x:v>
      </x:c>
      <x:c r="P29" s="24" t="str">
        <x:v>SUP-004</x:v>
      </x:c>
    </x:row>
    <x:row r="30" ht="72" customHeight="1">
      <x:c r="A30" s="24" t="str">
        <x:v>Official web</x:v>
      </x:c>
      <x:c r="B30" s="24" t="str">
        <x:v>Yahoo Finance Talent Roster</x:v>
      </x:c>
      <x:c r="C30" s="24" t="str">
        <x:v>https://www.yahooinc.com/press/yahoo-finance-brings-financial-creators-to-its-growing-talent-roster</x:v>
      </x:c>
      <x:c r="D30" s="24" t="str">
        <x:v>英文</x:v>
      </x:c>
      <x:c r="E30" s="24" t="str">
        <x:v>美国（受众地域按原证据置信度）</x:v>
      </x:c>
      <x:c r="F30" s="24" t="str">
        <x:v>Newsletter/podcast/media route</x:v>
      </x:c>
      <x:c r="G30" s="24" t="str">
        <x:v>Retail investing; 美股/市场评论</x:v>
      </x:c>
      <x:c r="H30" s="24" t="str">
        <x:v>P1</x:v>
      </x:c>
      <x:c r="I30" s="24" t="str">
        <x:v>Approve</x:v>
      </x:c>
      <x:c r="J30" s="24" t="str">
        <x:v>C3｜Outreach Ready</x:v>
      </x:c>
      <x:c r="K30" s="24" t="str"/>
      <x:c r="L30" s="24" t="str">
        <x:v>https://www.yahooinc.com/contact</x:v>
      </x:c>
      <x:c r="M30" s="24" t="str">
        <x:v>待索取 roster / 关系标签</x:v>
      </x:c>
      <x:c r="N30" s="24" t="str">
        <x:v>待授权建联</x:v>
      </x:c>
      <x:c r="O30" s="24" t="str">
        <x:v>采购角色：Newsletter/podcast/media route
关系边界：Yahoo Finance is a publisher/media supplier and branded-content route, not a creator manager or independent talent agency. Historical/on-air talent is not automatically bookable standalone …
依据：原先把‘Talent Roster 是否可单独买’当作准入问题过窄。官方资料证明 Yahoo Finance 在 2026 年持续推出 creator-hosted 原创节目，同时 Yahoo Ads 有可选择 Yahoo Finance、填写季度预算的 B2B 表单，并展示金融服务品牌的 influencer-led branded-content 案例。因此可作为 publisher/media supplier Approve；但不能称为 manager，也不能承诺可单独预订任何历史 r…；90天活跃 N/A — route role；E3；核验 2026-09-04T12:41:48+08:00
下一步：Current Yahoo Finance creator-hosted/branded-content inventory; whether named talent can be selected; video/podcast/social/event formats; audience; minimum quarterly budget; rates; production lead time; finance-category restrictions; next-eight-week availabil…</x:v>
      </x:c>
      <x:c r="P30" s="24" t="str">
        <x:v>SUP-015</x:v>
      </x:c>
    </x:row>
    <x:row r="31" ht="72" customHeight="1">
      <x:c r="A31" s="24" t="str">
        <x:v>Podcast; X; YouTube; Substack; Web</x:v>
      </x:c>
      <x:c r="B31" s="24" t="str">
        <x:v>168X</x:v>
      </x:c>
      <x:c r="C31" s="24" t="str">
        <x:v>https://168x.club/</x:v>
      </x:c>
      <x:c r="D31" s="24" t="str">
        <x:v>中文</x:v>
      </x:c>
      <x:c r="E31" s="24" t="str">
        <x:v>台湾; 香港/大中华; 全球/跨境; 美国（内容市场）</x:v>
      </x:c>
      <x:c r="F31" s="24" t="str">
        <x:v>Newsletter/podcast/media route</x:v>
      </x:c>
      <x:c r="G31" s="24" t="str">
        <x:v>美股/市场评论; Fintech/AI Finance; Crypto × Equity/新金融</x:v>
      </x:c>
      <x:c r="H31" s="24" t="str">
        <x:v>P1</x:v>
      </x:c>
      <x:c r="I31" s="24" t="str">
        <x:v>Approve</x:v>
      </x:c>
      <x:c r="J31" s="24" t="str">
        <x:v>C3｜Outreach Ready</x:v>
      </x:c>
      <x:c r="K31" s="24" t="str"/>
      <x:c r="L31" s="24" t="str">
        <x:v>mrz@168x.club</x:v>
      </x:c>
      <x:c r="M31" s="24" t="str">
        <x:v>待索取 roster / 关系标签</x:v>
      </x:c>
      <x:c r="N31" s="24" t="str">
        <x:v>待授权建联</x:v>
      </x:c>
      <x:c r="O31" s="24" t="str">
        <x:v>采购角色：Newsletter/podcast/media route
关系边界：168X is a media/podcast/GTM route. Repeated guest appearances support collaboration and possible permission-based referral, not management, exclusivity or authority to quote for the guest.
依据：公开商务入口、可描述的媒体/GTM 服务和近期重复的高匹配 creator 合作同时成立，可进入机构建联队列；价值来自媒体库存与关系转介，不来自未经证实的 roster。；90天活跃 Official route checked；E3；核验 2026-09-06
下一步：Podcast/X/YouTube/Substack/GTM 合作形式；受众；rate card；档期；金融品类条件；可合作嘉宾/creator；是否愿意经许可介绍 qinbafrank（不要求代报价）。</x:v>
      </x:c>
      <x:c r="P31" s="24" t="str">
        <x:v>CN-SUP-007</x:v>
      </x:c>
    </x:row>
    <x:row r="32" ht="72" customHeight="1">
      <x:c r="A32" s="24" t="str">
        <x:v>Web; App; 微信; 微博</x:v>
      </x:c>
      <x:c r="B32" s="24" t="str">
        <x:v>格隆汇</x:v>
      </x:c>
      <x:c r="C32" s="24" t="str">
        <x:v>https://www.gelonghui.com/</x:v>
      </x:c>
      <x:c r="D32" s="24" t="str">
        <x:v>中文</x:v>
      </x:c>
      <x:c r="E32" s="24" t="str">
        <x:v>香港/大中华; 中国内地; 全球/跨境; 美国（市场内容）</x:v>
      </x:c>
      <x:c r="F32" s="24" t="str">
        <x:v>Newsletter/podcast/media route</x:v>
      </x:c>
      <x:c r="G32" s="24" t="str">
        <x:v>美股/市场评论; Retail investing; Fintech/AI Finance</x:v>
      </x:c>
      <x:c r="H32" s="24" t="str">
        <x:v>P1</x:v>
      </x:c>
      <x:c r="I32" s="24" t="str">
        <x:v>Approve</x:v>
      </x:c>
      <x:c r="J32" s="24" t="str">
        <x:v>C3｜Outreach Ready</x:v>
      </x:c>
      <x:c r="K32" s="24" t="str"/>
      <x:c r="L32" s="24" t="str">
        <x:v>business@gelonghui.com</x:v>
      </x:c>
      <x:c r="M32" s="24" t="str">
        <x:v>待索取 roster / 关系标签</x:v>
      </x:c>
      <x:c r="N32" s="24" t="str">
        <x:v>待授权建联</x:v>
      </x:c>
      <x:c r="O32" s="24" t="str">
        <x:v>采购角色：Newsletter/podcast/media route
关系边界：格隆汇 is a cross-border finance media/platform route, not a verified creator agency or manager.
依据：覆盖港美股与大中华跨境投资者，弥补香港/跨境市场路线；商务入口成立但采购能力待确认。；90天活跃 Official route checked；E3；核验 2026-09-06
下一步：媒体栏目、主持人/creator、活动及内容资源；受众；形式；报价；最低预算；档期；专属商务联系人。</x:v>
      </x:c>
      <x:c r="P32" s="24" t="str">
        <x:v>CN-SUP-006</x:v>
      </x:c>
    </x:row>
    <x:row r="33" ht="72" customHeight="1">
      <x:c r="A33" s="24" t="str">
        <x:v>Web; App; WeChat; WeChat Channels; Douyin; Owned video</x:v>
      </x:c>
      <x:c r="B33" s="24" t="str">
        <x:v>每日经济新闻 / National Business Daily</x:v>
      </x:c>
      <x:c r="C33" s="24" t="str">
        <x:v>https://www.nbd.com.cn/</x:v>
      </x:c>
      <x:c r="D33" s="24" t="str">
        <x:v>中文</x:v>
      </x:c>
      <x:c r="E33" s="24" t="str">
        <x:v>中国内地; 香港/大中华; 全球/跨境</x:v>
      </x:c>
      <x:c r="F33" s="24" t="str">
        <x:v>finance owned-media/content supplier</x:v>
      </x:c>
      <x:c r="G33" s="24" t="str">
        <x:v>美股/市场评论; Retail investing; Fintech/AI Finance；Trading/options; 中国市场; 品牌/投资者教育</x:v>
      </x:c>
      <x:c r="H33" s="24" t="str">
        <x:v>P1</x:v>
      </x:c>
      <x:c r="I33" s="24" t="str">
        <x:v>Approve</x:v>
      </x:c>
      <x:c r="J33" s="24" t="str">
        <x:v>C3｜Outreach Ready</x:v>
      </x:c>
      <x:c r="K33" s="24" t="str"/>
      <x:c r="L33" s="24" t="str">
        <x:v>Shanghai 021-61283008; Beijing 010-57613265; https://www.nbd.com.cn/articles/2026-05-11/4387462.html</x:v>
      </x:c>
      <x:c r="M33" s="24" t="str">
        <x:v>待索取 roster / 关系标签</x:v>
      </x:c>
      <x:c r="N33" s="24" t="str">
        <x:v>待授权建联</x:v>
      </x:c>
      <x:c r="O33" s="24" t="str">
        <x:v>采购角色：Newsletter/podcast/media route
关系边界：NBD is approved as a publisher/owned-media supplier. Historical MCN language is not used to claim current creator management.
依据：A current regional advertising route plus recent enterprise-content capability and owned finance-video inventory make NBD a useful mainland media supplier, with dated inventory explicitly flagged.；90天活跃 A 2026 official advertising page and current 2026 publishing activity observed；E2；核验 2026-09-06
下一步：2026 media kit; current WeChat/Video Accounts/Douyin/web inventory; N小黑财经 and named program status; owned/host/external-creator relationship labels; audience; formats; rates/minimum budget; lead time; compliance; next eight-week availability.</x:v>
      </x:c>
      <x:c r="P33" s="24" t="str">
        <x:v>CN-SUP-017</x:v>
      </x:c>
    </x:row>
    <x:row r="34" ht="72" customHeight="1">
      <x:c r="A34" s="24" t="str">
        <x:v>Web; Social; Video; LINE/EDM</x:v>
      </x:c>
      <x:c r="B34" s="24" t="str">
        <x:v>StockFeel 股感</x:v>
      </x:c>
      <x:c r="C34" s="24" t="str">
        <x:v>https://www.stockfeel.com.tw/about/</x:v>
      </x:c>
      <x:c r="D34" s="24" t="str">
        <x:v>中文</x:v>
      </x:c>
      <x:c r="E34" s="24" t="str">
        <x:v>台湾; 香港/大中华</x:v>
      </x:c>
      <x:c r="F34" s="24" t="str">
        <x:v>finance owned-media/content supplier</x:v>
      </x:c>
      <x:c r="G34" s="24" t="str">
        <x:v>Retail investing; Fintech/AI Finance; 美股/市场评论；Trading/options; 金融教育</x:v>
      </x:c>
      <x:c r="H34" s="24" t="str">
        <x:v>P1</x:v>
      </x:c>
      <x:c r="I34" s="24" t="str">
        <x:v>Approve</x:v>
      </x:c>
      <x:c r="J34" s="24" t="str">
        <x:v>C3｜Outreach Ready</x:v>
      </x:c>
      <x:c r="K34" s="24" t="str"/>
      <x:c r="L34" s="24" t="str">
        <x:v>https://biz.stockfeel.com.tw/contact</x:v>
      </x:c>
      <x:c r="M34" s="24" t="str">
        <x:v>待索取 roster / 关系标签</x:v>
      </x:c>
      <x:c r="N34" s="24" t="str">
        <x:v>待授权建联</x:v>
      </x:c>
      <x:c r="O34" s="24" t="str">
        <x:v>采购角色：Newsletter/podcast/media route
关系边界：StockFeel is an owned-media/content supplier, not a manager, MCN or proven external creator roster.
依据：StockFeel adds a finance-native owned-media and production route rather than another generic influencer marketplace.；90天活跃 Current official service/contact pages and 2026 site content observed；E3；核验 2026-09-06
下一步：Current finance audience by channel; owned-media placements; sponsored content, video and social formats; rates/minimum budget; lead time; reporting; regulated-finance restrictions; external host/creator options if any.</x:v>
      </x:c>
      <x:c r="P34" s="24" t="str">
        <x:v>CN-SUP-012</x:v>
      </x:c>
    </x:row>
    <x:row r="35" ht="72" customHeight="1">
      <x:c r="A35" s="24" t="str">
        <x:v>Bilibili; Short video; Private-domain/community; Web</x:v>
      </x:c>
      <x:c r="B35" s="24" t="str">
        <x:v>湃科传媒 / IPAI</x:v>
      </x:c>
      <x:c r="C35" s="24" t="str">
        <x:v>https://www.kolchain.com.cn/</x:v>
      </x:c>
      <x:c r="D35" s="24" t="str">
        <x:v>中文</x:v>
      </x:c>
      <x:c r="E35" s="24" t="str">
        <x:v>中国内地; 香港/大中华; 全球/跨境</x:v>
      </x:c>
      <x:c r="F35" s="24" t="str">
        <x:v>mainland finance IP incubator/content supplier</x:v>
      </x:c>
      <x:c r="G35" s="24" t="str">
        <x:v>Retail investing; Trading/options；Fintech/AI Finance; 美股/市场评论; Crypto × Equity/新金融</x:v>
      </x:c>
      <x:c r="H35" s="24" t="str">
        <x:v>P2</x:v>
      </x:c>
      <x:c r="I35" s="24" t="str">
        <x:v>Approve</x:v>
      </x:c>
      <x:c r="J35" s="24" t="str">
        <x:v>C2｜Outreach Ready</x:v>
      </x:c>
      <x:c r="K35" s="24" t="str"/>
      <x:c r="L35" s="24" t="str">
        <x:v>19334339581; https://www.kolchain.com.cn/</x:v>
      </x:c>
      <x:c r="M35" s="24" t="str">
        <x:v>待索取 roster / 关系标签</x:v>
      </x:c>
      <x:c r="N35" s="24" t="str">
        <x:v>待授权建联</x:v>
      </x:c>
      <x:c r="O35" s="24" t="str">
        <x:v>采购角色：Manager/supplier lead
关系边界：IPAI is approved as an institution-level IP incubator/content supplier. Leo黎轮动趋势 and IPAI老谢 remain creator candidates requiring separate safety, relationship and buyability checks.
依据：The official company route and current named finance-IP evidence are sufficient for a verification inquiry. Approval is institution-level and conditional; the missing roster ownership, creator safety, rates and availability must be answered before a…；内容 16/16；90天活跃 Current official site plus current Leo Bilibili activity and 2026 supplier profile observed；E2；核验 2026-09-06
下一步：2026 current finance roster; owned/incubated/signed/exclusive/collaborating labels; whether Leo黎轮动趋势 and IPAI老谢 can be booked individually; current finance-brand cases; creator claims/disclosure controls; platforms, audience, formats, rates/minimum budget, le…</x:v>
      </x:c>
      <x:c r="P35" s="24" t="str">
        <x:v>CN-SUP-Q002</x:v>
      </x:c>
    </x:row>
    <x:row r="36" ht="72" customHeight="1">
      <x:c r="A36" s="24" t="str">
        <x:v>Newsletter network</x:v>
      </x:c>
      <x:c r="B36" s="24" t="str">
        <x:v>Beehiiv Ad Network</x:v>
      </x:c>
      <x:c r="C36" s="24" t="str">
        <x:v>https://www.beehiiv.com/ad-network</x:v>
      </x:c>
      <x:c r="D36" s="24" t="str">
        <x:v>英文</x:v>
      </x:c>
      <x:c r="E36" s="24" t="str">
        <x:v>美国; 全球/跨境</x:v>
      </x:c>
      <x:c r="F36" s="24" t="str">
        <x:v>newsletter advertising network/media supplier</x:v>
      </x:c>
      <x:c r="G36" s="24" t="str">
        <x:v>Fintech/AI Finance；美股/市场评论; Retail investing; Trading/options; Crypto × Equity/新金融</x:v>
      </x:c>
      <x:c r="H36" s="24" t="str">
        <x:v>P1 finance inventory verification</x:v>
      </x:c>
      <x:c r="I36" s="24" t="str">
        <x:v>Approve</x:v>
      </x:c>
      <x:c r="J36" s="24" t="str">
        <x:v>C3｜Outreach Ready</x:v>
      </x:c>
      <x:c r="K36" s="24" t="str"/>
      <x:c r="L36" s="24" t="str">
        <x:v>https://www.beehiiv.com/i-want-to/advertise</x:v>
      </x:c>
      <x:c r="M36" s="24" t="str">
        <x:v>待索取 roster / 关系标签</x:v>
      </x:c>
      <x:c r="N36" s="24" t="str">
        <x:v>待授权建联</x:v>
      </x:c>
      <x:c r="O36" s="24" t="str">
        <x:v>采购角色：Newsletter advertising network / media supplier — not a creator manager
关系边界：Beehiiv Ad Network — external ad-sales/network route; not a manager, talent agency or MCN
依据：Unlike a generic SaaS listing, this route has an official finance/investing vertical, an advertiser sales workflow, pricing guidance and a directly observed placement in a named finance publication. It is a media-buying supplier, not creator represe…；90天活跃 Yes — current advertiser route and a 2026-05 named finance-publication placement are live；E3；核验 2026-09-06
下一步：Current named Finance &amp; Investing newsletter inventory; whether specific publications can be requested; audience and engagement fields; native placement formats; CPM/CPC or package rates; $15k minimum applicability; 4–6 week availability; reporting; financial…</x:v>
      </x:c>
      <x:c r="P36" s="24" t="str">
        <x:v>EN-SUP-001</x:v>
      </x:c>
    </x:row>
    <x:row r="37" ht="72" customHeight="1">
      <x:c r="A37" s="24" t="str">
        <x:v>Podcast; Newsletter; Web; Community</x:v>
      </x:c>
      <x:c r="B37" s="24" t="str">
        <x:v>ChooseFI</x:v>
      </x:c>
      <x:c r="C37" s="24" t="str">
        <x:v>https://choosefi.com/</x:v>
      </x:c>
      <x:c r="D37" s="24" t="str">
        <x:v>英文</x:v>
      </x:c>
      <x:c r="E37" s="24" t="str">
        <x:v>美国; 全球/跨境（audience geography unverified）</x:v>
      </x:c>
      <x:c r="F37" s="24" t="str">
        <x:v>Independent media property / FI podcast, newsletter and community</x:v>
      </x:c>
      <x:c r="G37" s="24" t="str">
        <x:v>Retail investing；Financial independence; retirement; tax; travel rewards; personal finance</x:v>
      </x:c>
      <x:c r="H37" s="24" t="str">
        <x:v>P2 selective partnership verification</x:v>
      </x:c>
      <x:c r="I37" s="24" t="str">
        <x:v>Approve</x:v>
      </x:c>
      <x:c r="J37" s="24" t="str">
        <x:v>C2｜Outreach Ready</x:v>
      </x:c>
      <x:c r="K37" s="24" t="str"/>
      <x:c r="L37" s="24" t="str">
        <x:v>https://choosefi.com/contact-us</x:v>
      </x:c>
      <x:c r="M37" s="24" t="str">
        <x:v>待索取 roster / 关系标签</x:v>
      </x:c>
      <x:c r="N37" s="24" t="str">
        <x:v>待授权建联</x:v>
      </x:c>
      <x:c r="O37" s="24" t="str">
        <x:v>采购角色：Newsletter/podcast/media route
关系边界：Self-owned media/community; no external manager or agency verified
依据：Audience fit, current activity and commercial precedent are directly evidenced. The old Question treated a selective model as non-commercial; under Mango's commercial-route objective, this is better represented as a bounded media Approve with verifi…；90天活跃 N/A — route role；E3；核验 2026-09-06
下一步：Whether the exact brief fits ChooseFI's selective affiliate/advertiser or custom educational model; available podcast, newsletter, web or community formats; audience geography/demographics; current rates or minimums; lead time and availability; category confl…</x:v>
      </x:c>
      <x:c r="P37" s="24" t="str">
        <x:v>SUP-014</x:v>
      </x:c>
    </x:row>
    <x:row r="38" ht="72" customHeight="1">
      <x:c r="A38" s="24" t="str">
        <x:v>Official web</x:v>
      </x:c>
      <x:c r="B38" s="24" t="str">
        <x:v>Affluence</x:v>
      </x:c>
      <x:c r="C38" s="24" t="str">
        <x:v>https://www.useaffluence.com/</x:v>
      </x:c>
      <x:c r="D38" s="24" t="str">
        <x:v>英文</x:v>
      </x:c>
      <x:c r="E38" s="24" t="str">
        <x:v>美国（受众地域按原证据置信度）</x:v>
      </x:c>
      <x:c r="F38" s="24" t="str">
        <x:v>Reject</x:v>
      </x:c>
      <x:c r="G38" s="24" t="str">
        <x:v>Fintech/AI Finance</x:v>
      </x:c>
      <x:c r="H38" s="24" t="str">
        <x:v>—</x:v>
      </x:c>
      <x:c r="I38" s="24" t="str">
        <x:v>Reject</x:v>
      </x:c>
      <x:c r="J38" s="24" t="str">
        <x:v>C2｜Unverified / insufficient</x:v>
      </x:c>
      <x:c r="K38" s="24" t="str"/>
      <x:c r="L38" s="24" t="str">
        <x:v>hello@useaffluence.com</x:v>
      </x:c>
      <x:c r="M38" s="24" t="str">
        <x:v>不索取</x:v>
      </x:c>
      <x:c r="N38" s="24" t="str">
        <x:v>不联系｜排除库</x:v>
      </x:c>
      <x:c r="O38" s="24" t="str">
        <x:v>采购角色：Reject
关系边界：business/wealth management，不是 talent representation。
依据：是创作者的财富/后台服务，不是 creator procurement supplier。；90天活跃 N/A — route role；E3；核验 2026-09-04T12:41:48+08:00
下一步：不进入本轮供应商池。</x:v>
      </x:c>
      <x:c r="P38" s="24" t="str">
        <x:v>SUP-024</x:v>
      </x:c>
    </x:row>
    <x:row r="39" ht="72" customHeight="1">
      <x:c r="A39" s="24" t="str">
        <x:v>Official web</x:v>
      </x:c>
      <x:c r="B39" s="24" t="str">
        <x:v>Brighter Click</x:v>
      </x:c>
      <x:c r="C39" s="24" t="str">
        <x:v>https://www.brighterclick.com/</x:v>
      </x:c>
      <x:c r="D39" s="24" t="str">
        <x:v>英文</x:v>
      </x:c>
      <x:c r="E39" s="24" t="str">
        <x:v>美国（受众地域按原证据置信度）</x:v>
      </x:c>
      <x:c r="F39" s="24" t="str">
        <x:v>Reject</x:v>
      </x:c>
      <x:c r="G39" s="24" t="str">
        <x:v>Fintech/AI Finance</x:v>
      </x:c>
      <x:c r="H39" s="24" t="str">
        <x:v>—</x:v>
      </x:c>
      <x:c r="I39" s="24" t="str">
        <x:v>Reject</x:v>
      </x:c>
      <x:c r="J39" s="24" t="str">
        <x:v>C2｜Unverified / insufficient</x:v>
      </x:c>
      <x:c r="K39" s="24" t="str"/>
      <x:c r="L39" s="24" t="str">
        <x:v>官网咨询入口。</x:v>
      </x:c>
      <x:c r="M39" s="24" t="str">
        <x:v>不索取</x:v>
      </x:c>
      <x:c r="N39" s="24" t="str">
        <x:v>不联系｜排除库</x:v>
      </x:c>
      <x:c r="O39" s="24" t="str">
        <x:v>采购角色：Reject
关系边界：否。
依据：业务类型不匹配且无 finance roster；不能计为 creator supplier。；90天活跃 N/A — route role；E3；核验 2026-09-04T12:41:48+08:00
下一步：不进入本轮供应商池。</x:v>
      </x:c>
      <x:c r="P39" s="24" t="str">
        <x:v>SUP-007</x:v>
      </x:c>
    </x:row>
    <x:row r="40" ht="72" customHeight="1">
      <x:c r="A40" s="24" t="str">
        <x:v>Official web</x:v>
      </x:c>
      <x:c r="B40" s="24" t="str">
        <x:v>Capital Creators Group</x:v>
      </x:c>
      <x:c r="C40" s="24" t="str">
        <x:v>https://www.capitalcreatorsgroup.com/cmo-trabajamos</x:v>
      </x:c>
      <x:c r="D40" s="24" t="str">
        <x:v>西班牙语（当前目标外）</x:v>
      </x:c>
      <x:c r="E40" s="24" t="str">
        <x:v>西班牙/拉美（当前目标外）</x:v>
      </x:c>
      <x:c r="F40" s="24" t="str">
        <x:v>Reject</x:v>
      </x:c>
      <x:c r="G40" s="24" t="str">
        <x:v>Retail investing; Fintech/AI Finance</x:v>
      </x:c>
      <x:c r="H40" s="24" t="str">
        <x:v>—</x:v>
      </x:c>
      <x:c r="I40" s="24" t="str">
        <x:v>Reject</x:v>
      </x:c>
      <x:c r="J40" s="24" t="str">
        <x:v>C2｜Unverified / insufficient</x:v>
      </x:c>
      <x:c r="K40" s="24" t="str"/>
      <x:c r="L40" s="24" t="str">
        <x:v>官网 WhatsApp/meeting route。</x:v>
      </x:c>
      <x:c r="M40" s="24" t="str">
        <x:v>不索取</x:v>
      </x:c>
      <x:c r="N40" s="24" t="str">
        <x:v>不联系｜排除库</x:v>
      </x:c>
      <x:c r="O40" s="24" t="str">
        <x:v>采购角色：Reject
关系边界：西语 finance creator coordination。
依据：服务类型相关，但目标市场是西班牙/西语，不符合本轮美国英语供应链。；90天活跃 N/A — route role；E2；核验 2026-09-04T12:41:48+08:00
下一步：不进入当前池；如未来有 US Hispanic brief 再单独验证。</x:v>
      </x:c>
      <x:c r="P40" s="24" t="str">
        <x:v>SUP-012</x:v>
      </x:c>
    </x:row>
    <x:row r="41" ht="72" customHeight="1">
      <x:c r="A41" s="24" t="str">
        <x:v>Official web</x:v>
      </x:c>
      <x:c r="B41" s="24" t="str">
        <x:v>Coinbound</x:v>
      </x:c>
      <x:c r="C41" s="24" t="str">
        <x:v>https://coinbound.io/</x:v>
      </x:c>
      <x:c r="D41" s="24" t="str">
        <x:v>英文</x:v>
      </x:c>
      <x:c r="E41" s="24" t="str">
        <x:v>全球/跨境; 美国（适配待验证）</x:v>
      </x:c>
      <x:c r="F41" s="24" t="str">
        <x:v>Reject</x:v>
      </x:c>
      <x:c r="G41" s="24" t="str">
        <x:v>Crypto × Equity/新金融</x:v>
      </x:c>
      <x:c r="H41" s="24" t="str">
        <x:v>—</x:v>
      </x:c>
      <x:c r="I41" s="24" t="str">
        <x:v>Reject</x:v>
      </x:c>
      <x:c r="J41" s="24" t="str">
        <x:v>C3｜Verified public route</x:v>
      </x:c>
      <x:c r="K41" s="24" t="str"/>
      <x:c r="L41" s="24" t="str">
        <x:v>https://coinbound.io/contact/</x:v>
      </x:c>
      <x:c r="M41" s="24" t="str">
        <x:v>不索取</x:v>
      </x:c>
      <x:c r="N41" s="24" t="str">
        <x:v>不联系｜排除库</x:v>
      </x:c>
      <x:c r="O41" s="24" t="str">
        <x:v>采购角色：Reject
关系边界：Web3 influencer route。
依据：触发 hard gate：以泛 crypto/Web3 为主，不能作为本轮美国金融通用供应商。；90天活跃 N/A — route role；E3；核验 2026-09-04T12:41:48+08:00
下一步：未来纯 crypto brief 另行评估。</x:v>
      </x:c>
      <x:c r="P41" s="24" t="str">
        <x:v>SUP-022</x:v>
      </x:c>
    </x:row>
    <x:row r="42" ht="72" customHeight="1">
      <x:c r="A42" s="24" t="str">
        <x:v>Official web</x:v>
      </x:c>
      <x:c r="B42" s="24" t="str">
        <x:v>Croton Content</x:v>
      </x:c>
      <x:c r="C42" s="24" t="str">
        <x:v>https://www.crotoncontent.com/services/youtube-channel-management/</x:v>
      </x:c>
      <x:c r="D42" s="24" t="str">
        <x:v>英文</x:v>
      </x:c>
      <x:c r="E42" s="24" t="str">
        <x:v>美国（受众地域按原证据置信度）</x:v>
      </x:c>
      <x:c r="F42" s="24" t="str">
        <x:v>Reject</x:v>
      </x:c>
      <x:c r="G42" s="24" t="str">
        <x:v>Fintech/AI Finance</x:v>
      </x:c>
      <x:c r="H42" s="24" t="str">
        <x:v>—</x:v>
      </x:c>
      <x:c r="I42" s="24" t="str">
        <x:v>Reject</x:v>
      </x:c>
      <x:c r="J42" s="24" t="str">
        <x:v>C3｜Verified public route</x:v>
      </x:c>
      <x:c r="K42" s="24" t="str"/>
      <x:c r="L42" s="24" t="str">
        <x:v>官网商务入口。</x:v>
      </x:c>
      <x:c r="M42" s="24" t="str">
        <x:v>不索取</x:v>
      </x:c>
      <x:c r="N42" s="24" t="str">
        <x:v>不联系｜排除库</x:v>
      </x:c>
      <x:c r="O42" s="24" t="str">
        <x:v>采购角色：Reject
关系边界：否。
依据：属于品牌自有媒体制作/SEO 服务，不是 manager、network 或可采购 creator roster。；90天活跃 N/A — route role；E3；核验 2026-09-04T12:41:48+08:00
下一步：不进入本轮 creator supply；未来 content production vendor 可另建表。</x:v>
      </x:c>
      <x:c r="P42" s="24" t="str">
        <x:v>SUP-018</x:v>
      </x:c>
    </x:row>
    <x:row r="43" ht="72" customHeight="1">
      <x:c r="A43" s="24" t="str">
        <x:v>Official web</x:v>
      </x:c>
      <x:c r="B43" s="24" t="str">
        <x:v>Digital Brand Architects / Dear Media (UTA)</x:v>
      </x:c>
      <x:c r="C43" s="24" t="str">
        <x:v>https://www.unitedtalent.com/</x:v>
      </x:c>
      <x:c r="D43" s="24" t="str">
        <x:v>英文</x:v>
      </x:c>
      <x:c r="E43" s="24" t="str">
        <x:v>美国（受众地域按原证据置信度）</x:v>
      </x:c>
      <x:c r="F43" s="24" t="str">
        <x:v>Reject</x:v>
      </x:c>
      <x:c r="G43" s="24" t="str">
        <x:v>Retail investing</x:v>
      </x:c>
      <x:c r="H43" s="24" t="str">
        <x:v>—</x:v>
      </x:c>
      <x:c r="I43" s="24" t="str">
        <x:v>Reject</x:v>
      </x:c>
      <x:c r="J43" s="24" t="str">
        <x:v>C2｜Unverified / insufficient</x:v>
      </x:c>
      <x:c r="K43" s="24" t="str"/>
      <x:c r="L43" s="24" t="str">
        <x:v>官网 booking。</x:v>
      </x:c>
      <x:c r="M43" s="24" t="str">
        <x:v>不索取</x:v>
      </x:c>
      <x:c r="N43" s="24" t="str">
        <x:v>不联系｜排除库</x:v>
      </x:c>
      <x:c r="O43" s="24" t="str">
        <x:v>采购角色：Reject
关系边界：综合人才代理；finance 专项未证实。
依据：组合实体过宽，且无明确 finance roster；违反供应商 gate。；90天活跃 N/A — route role；E2；核验 2026-09-04T12:41:48+08:00
下一步：不进入本轮供应商池。</x:v>
      </x:c>
      <x:c r="P43" s="24" t="str">
        <x:v>SUP-016</x:v>
      </x:c>
    </x:row>
    <x:row r="44" ht="72" customHeight="1">
      <x:c r="A44" s="24" t="str">
        <x:v>Official web</x:v>
      </x:c>
      <x:c r="B44" s="24" t="str">
        <x:v>Flake Agency</x:v>
      </x:c>
      <x:c r="C44" s="24" t="str">
        <x:v>https://flake-agency.com/en/</x:v>
      </x:c>
      <x:c r="D44" s="24" t="str">
        <x:v>英文</x:v>
      </x:c>
      <x:c r="E44" s="24" t="str">
        <x:v>全球/跨境; 美国（适配待验证）</x:v>
      </x:c>
      <x:c r="F44" s="24" t="str">
        <x:v>Reject</x:v>
      </x:c>
      <x:c r="G44" s="24" t="str">
        <x:v>Retail investing; Fintech/AI Finance</x:v>
      </x:c>
      <x:c r="H44" s="24" t="str">
        <x:v>—</x:v>
      </x:c>
      <x:c r="I44" s="24" t="str">
        <x:v>Reject</x:v>
      </x:c>
      <x:c r="J44" s="24" t="str">
        <x:v>C2｜Unverified / insufficient</x:v>
      </x:c>
      <x:c r="K44" s="24" t="str"/>
      <x:c r="L44" s="24" t="str">
        <x:v>官网商务入口。</x:v>
      </x:c>
      <x:c r="M44" s="24" t="str">
        <x:v>不索取</x:v>
      </x:c>
      <x:c r="N44" s="24" t="str">
        <x:v>不联系｜排除库</x:v>
      </x:c>
      <x:c r="O44" s="24" t="str">
        <x:v>采购角色：Reject
关系边界：可能，但与美国英语 seed 目标不匹配。
依据：本轮是美国英语金融供应链；公开定位无法支持该市场 fit。；90天活跃 N/A — route role；E2；核验 2026-09-04T12:41:48+08:00
下一步：未来欧洲/西语 brief 可另建 lane，不进入当前池。</x:v>
      </x:c>
      <x:c r="P44" s="24" t="str">
        <x:v>SUP-011</x:v>
      </x:c>
    </x:row>
    <x:row r="45" ht="72" customHeight="1">
      <x:c r="A45" s="24" t="str">
        <x:v>Official web</x:v>
      </x:c>
      <x:c r="B45" s="24" t="str">
        <x:v>Growth Gorilla</x:v>
      </x:c>
      <x:c r="C45" s="24" t="str">
        <x:v>https://www.growthgorilla.co.uk/</x:v>
      </x:c>
      <x:c r="D45" s="24" t="str">
        <x:v>英文</x:v>
      </x:c>
      <x:c r="E45" s="24" t="str">
        <x:v>美国（受众地域按原证据置信度）</x:v>
      </x:c>
      <x:c r="F45" s="24" t="str">
        <x:v>Reject</x:v>
      </x:c>
      <x:c r="G45" s="24" t="str">
        <x:v>Fintech/AI Finance</x:v>
      </x:c>
      <x:c r="H45" s="24" t="str">
        <x:v>—</x:v>
      </x:c>
      <x:c r="I45" s="24" t="str">
        <x:v>Reject</x:v>
      </x:c>
      <x:c r="J45" s="24" t="str">
        <x:v>C2｜Unverified / insufficient</x:v>
      </x:c>
      <x:c r="K45" s="24" t="str"/>
      <x:c r="L45" s="24" t="str">
        <x:v>官网咨询入口。</x:v>
      </x:c>
      <x:c r="M45" s="24" t="str">
        <x:v>不索取</x:v>
      </x:c>
      <x:c r="N45" s="24" t="str">
        <x:v>不联系｜排除库</x:v>
      </x:c>
      <x:c r="O45" s="24" t="str">
        <x:v>采购角色：Reject
关系边界：否/未证实。
依据：没有公开 finance creator roster，属于营销服务商而非本轮供应商。；90天活跃 N/A — route role；E3；核验 2026-09-04T12:41:48+08:00
下一步：不进入本轮供应商池。</x:v>
      </x:c>
      <x:c r="P45" s="24" t="str">
        <x:v>SUP-008</x:v>
      </x:c>
    </x:row>
    <x:row r="46" ht="72" customHeight="1">
      <x:c r="A46" s="24" t="str">
        <x:v>Official web</x:v>
      </x:c>
      <x:c r="B46" s="24" t="str">
        <x:v>inBeat</x:v>
      </x:c>
      <x:c r="C46" s="24" t="str">
        <x:v>https://www.inbeat.agency/</x:v>
      </x:c>
      <x:c r="D46" s="24" t="str">
        <x:v>英文</x:v>
      </x:c>
      <x:c r="E46" s="24" t="str">
        <x:v>美国（受众地域按原证据置信度）</x:v>
      </x:c>
      <x:c r="F46" s="24" t="str">
        <x:v>Reject</x:v>
      </x:c>
      <x:c r="G46" s="24" t="str">
        <x:v>Fintech/AI Finance</x:v>
      </x:c>
      <x:c r="H46" s="24" t="str">
        <x:v>—</x:v>
      </x:c>
      <x:c r="I46" s="24" t="str">
        <x:v>Reject</x:v>
      </x:c>
      <x:c r="J46" s="24" t="str">
        <x:v>C3｜Verified public route</x:v>
      </x:c>
      <x:c r="K46" s="24" t="str"/>
      <x:c r="L46" s="24" t="str">
        <x:v>官网 contact。</x:v>
      </x:c>
      <x:c r="M46" s="24" t="str">
        <x:v>不索取</x:v>
      </x:c>
      <x:c r="N46" s="24" t="str">
        <x:v>不联系｜排除库</x:v>
      </x:c>
      <x:c r="O46" s="24" t="str">
        <x:v>采购角色：Reject
关系边界：否/未证实。
依据：无公开 finance roster，不能计为供应商。；90天活跃 N/A — route role；E3；核验 2026-09-04T12:41:48+08:00
下一步：不进入本轮供应商池。</x:v>
      </x:c>
      <x:c r="P46" s="24" t="str">
        <x:v>SUP-013</x:v>
      </x:c>
    </x:row>
    <x:row r="47" ht="72" customHeight="1">
      <x:c r="A47" s="24" t="str">
        <x:v>Official web</x:v>
      </x:c>
      <x:c r="B47" s="24" t="str">
        <x:v>Link Management</x:v>
      </x:c>
      <x:c r="C47" s="24" t="str">
        <x:v>https://www.linkcreatormgmt.com/</x:v>
      </x:c>
      <x:c r="D47" s="24" t="str">
        <x:v>英文</x:v>
      </x:c>
      <x:c r="E47" s="24" t="str">
        <x:v>美国（受众地域按原证据置信度）</x:v>
      </x:c>
      <x:c r="F47" s="24" t="str">
        <x:v>Reject</x:v>
      </x:c>
      <x:c r="G47" s="24" t="str">
        <x:v>Retail investing</x:v>
      </x:c>
      <x:c r="H47" s="24" t="str">
        <x:v>—</x:v>
      </x:c>
      <x:c r="I47" s="24" t="str">
        <x:v>Reject</x:v>
      </x:c>
      <x:c r="J47" s="24" t="str">
        <x:v>C2｜Unverified / insufficient</x:v>
      </x:c>
      <x:c r="K47" s="24" t="str"/>
      <x:c r="L47" s="24" t="str">
        <x:v>官网入口。</x:v>
      </x:c>
      <x:c r="M47" s="24" t="str">
        <x:v>不索取</x:v>
      </x:c>
      <x:c r="N47" s="24" t="str">
        <x:v>不联系｜排除库</x:v>
      </x:c>
      <x:c r="O47" s="24" t="str">
        <x:v>采购角色：Reject
关系边界：一般管理。
依据：无明确 finance roster。；90天活跃 N/A — route role；E2；核验 2026-09-04T12:41:48+08:00
下一步：不进入本轮供应商池。</x:v>
      </x:c>
      <x:c r="P47" s="24" t="str">
        <x:v>SUP-017</x:v>
      </x:c>
    </x:row>
    <x:row r="48" ht="72" customHeight="1">
      <x:c r="A48" s="24" t="str">
        <x:v>Official web</x:v>
      </x:c>
      <x:c r="B48" s="24" t="str">
        <x:v>Night Media / TBN Talent</x:v>
      </x:c>
      <x:c r="C48" s="24" t="str">
        <x:v>https://night.co/</x:v>
      </x:c>
      <x:c r="D48" s="24" t="str">
        <x:v>英文</x:v>
      </x:c>
      <x:c r="E48" s="24" t="str">
        <x:v>美国（受众地域按原证据置信度）</x:v>
      </x:c>
      <x:c r="F48" s="24" t="str">
        <x:v>Reject</x:v>
      </x:c>
      <x:c r="G48" s="24" t="str">
        <x:v>Retail investing</x:v>
      </x:c>
      <x:c r="H48" s="24" t="str">
        <x:v>—</x:v>
      </x:c>
      <x:c r="I48" s="24" t="str">
        <x:v>Reject</x:v>
      </x:c>
      <x:c r="J48" s="24" t="str">
        <x:v>C2｜Unverified / insufficient</x:v>
      </x:c>
      <x:c r="K48" s="24" t="str"/>
      <x:c r="L48" s="24" t="str">
        <x:v>Request Full Roster。</x:v>
      </x:c>
      <x:c r="M48" s="24" t="str">
        <x:v>不索取</x:v>
      </x:c>
      <x:c r="N48" s="24" t="str">
        <x:v>不联系｜排除库</x:v>
      </x:c>
      <x:c r="O48" s="24" t="str">
        <x:v>采购角色：Reject
关系边界：是一般 talent route。
依据：无明确 finance roster。；90天活跃 N/A — route role；E2；核验 2026-09-04T12:41:48+08:00
下一步：不进入本轮供应商池。</x:v>
      </x:c>
      <x:c r="P48" s="24" t="str">
        <x:v>SUP-023</x:v>
      </x:c>
    </x:row>
    <x:row r="49" ht="72" customHeight="1">
      <x:c r="A49" s="24" t="str">
        <x:v>Official web</x:v>
      </x:c>
      <x:c r="B49" s="24" t="str">
        <x:v>Range Media Partners</x:v>
      </x:c>
      <x:c r="C49" s="24" t="str">
        <x:v>https://rangemp.com/</x:v>
      </x:c>
      <x:c r="D49" s="24" t="str">
        <x:v>英文</x:v>
      </x:c>
      <x:c r="E49" s="24" t="str">
        <x:v>美国（受众地域按原证据置信度）</x:v>
      </x:c>
      <x:c r="F49" s="24" t="str">
        <x:v>Reject</x:v>
      </x:c>
      <x:c r="G49" s="24" t="str">
        <x:v>Retail investing</x:v>
      </x:c>
      <x:c r="H49" s="24" t="str">
        <x:v>—</x:v>
      </x:c>
      <x:c r="I49" s="24" t="str">
        <x:v>Reject</x:v>
      </x:c>
      <x:c r="J49" s="24" t="str">
        <x:v>C2｜Unverified / insufficient</x:v>
      </x:c>
      <x:c r="K49" s="24" t="str"/>
      <x:c r="L49" s="24" t="str">
        <x:v>info@rangemp.com</x:v>
      </x:c>
      <x:c r="M49" s="24" t="str">
        <x:v>不索取</x:v>
      </x:c>
      <x:c r="N49" s="24" t="str">
        <x:v>不联系｜排除库</x:v>
      </x:c>
      <x:c r="O49" s="24" t="str">
        <x:v>采购角色：Reject
关系边界：一般人才管理；未验证 finance roster。
依据：直接违反供应商 gate：generic manager 且公开页面无明确 finance roster；不能凭单一名人关系计为供应商。；90天活跃 N/A — route role；E2；核验 2026-09-04T12:41:48+08:00
下一步：不进入本轮供应商池。</x:v>
      </x:c>
      <x:c r="P49" s="24" t="str">
        <x:v>SUP-005</x:v>
      </x:c>
    </x:row>
    <x:row r="50" ht="72" customHeight="1">
      <x:c r="A50" s="24" t="str">
        <x:v>Official web</x:v>
      </x:c>
      <x:c r="B50" s="24" t="str">
        <x:v>Socially Powerful</x:v>
      </x:c>
      <x:c r="C50" s="24" t="str">
        <x:v>https://sociallypowerful.com/influencer/marketing/agency/industry/fintech</x:v>
      </x:c>
      <x:c r="D50" s="24" t="str">
        <x:v>英文</x:v>
      </x:c>
      <x:c r="E50" s="24" t="str">
        <x:v>美国（受众地域按原证据置信度）</x:v>
      </x:c>
      <x:c r="F50" s="24" t="str">
        <x:v>Reject</x:v>
      </x:c>
      <x:c r="G50" s="24" t="str">
        <x:v>Fintech/AI Finance</x:v>
      </x:c>
      <x:c r="H50" s="24" t="str">
        <x:v>—</x:v>
      </x:c>
      <x:c r="I50" s="24" t="str">
        <x:v>Reject</x:v>
      </x:c>
      <x:c r="J50" s="24" t="str">
        <x:v>C2｜Unverified / insufficient</x:v>
      </x:c>
      <x:c r="K50" s="24" t="str"/>
      <x:c r="L50" s="24" t="str">
        <x:v>官网询盘。</x:v>
      </x:c>
      <x:c r="M50" s="24" t="str">
        <x:v>不索取</x:v>
      </x:c>
      <x:c r="N50" s="24" t="str">
        <x:v>不联系｜排除库</x:v>
      </x:c>
      <x:c r="O50" s="24" t="str">
        <x:v>采购角色：Reject
关系边界：未证实。
依据：按规则，行业页和 SaaS/agency 能力不能替代明确 finance roster。；90天活跃 N/A — route role；E2；核验 2026-09-04T12:41:48+08:00
下一步：不进入本轮供应商池。</x:v>
      </x:c>
      <x:c r="P50" s="24" t="str">
        <x:v>SUP-009</x:v>
      </x:c>
    </x:row>
    <x:row r="51" ht="72" customHeight="1">
      <x:c r="A51" s="24" t="str">
        <x:v>Official web</x:v>
      </x:c>
      <x:c r="B51" s="24" t="str">
        <x:v>The Influencer Marketing Factory</x:v>
      </x:c>
      <x:c r="C51" s="24" t="str">
        <x:v>https://theinfluencermarketingfactory.com/fintech-influencer-marketing-agencies/</x:v>
      </x:c>
      <x:c r="D51" s="24" t="str">
        <x:v>英文</x:v>
      </x:c>
      <x:c r="E51" s="24" t="str">
        <x:v>美国（受众地域按原证据置信度）</x:v>
      </x:c>
      <x:c r="F51" s="24" t="str">
        <x:v>Reject</x:v>
      </x:c>
      <x:c r="G51" s="24" t="str">
        <x:v>Fintech/AI Finance</x:v>
      </x:c>
      <x:c r="H51" s="24" t="str">
        <x:v>—</x:v>
      </x:c>
      <x:c r="I51" s="24" t="str">
        <x:v>Reject</x:v>
      </x:c>
      <x:c r="J51" s="24" t="str">
        <x:v>C2｜Unverified / insufficient</x:v>
      </x:c>
      <x:c r="K51" s="24" t="str"/>
      <x:c r="L51" s="24" t="str">
        <x:v>官网询盘。</x:v>
      </x:c>
      <x:c r="M51" s="24" t="str">
        <x:v>不索取</x:v>
      </x:c>
      <x:c r="N51" s="24" t="str">
        <x:v>不联系｜排除库</x:v>
      </x:c>
      <x:c r="O51" s="24" t="str">
        <x:v>采购角色：Reject
关系边界：未证实。
依据：无明确 finance roster，违反供应商 gate。；90天活跃 N/A — route role；E2；核验 2026-09-04T12:41:48+08:00
下一步：不进入本轮供应商池。</x:v>
      </x:c>
      <x:c r="P51" s="24" t="str">
        <x:v>SUP-010</x:v>
      </x:c>
    </x:row>
    <x:row r="52" ht="72" customHeight="1">
      <x:c r="A52" s="24" t="str">
        <x:v>Official web</x:v>
      </x:c>
      <x:c r="B52" s="24" t="str">
        <x:v>Viral Nation</x:v>
      </x:c>
      <x:c r="C52" s="24" t="str">
        <x:v>https://www.viralnation.com/</x:v>
      </x:c>
      <x:c r="D52" s="24" t="str">
        <x:v>英文</x:v>
      </x:c>
      <x:c r="E52" s="24" t="str">
        <x:v>全球/跨境; 美国（适配待验证）</x:v>
      </x:c>
      <x:c r="F52" s="24" t="str">
        <x:v>Reject</x:v>
      </x:c>
      <x:c r="G52" s="24" t="str">
        <x:v>Fintech/AI Finance</x:v>
      </x:c>
      <x:c r="H52" s="24" t="str">
        <x:v>—</x:v>
      </x:c>
      <x:c r="I52" s="24" t="str">
        <x:v>Reject</x:v>
      </x:c>
      <x:c r="J52" s="24" t="str">
        <x:v>C3｜Verified public route</x:v>
      </x:c>
      <x:c r="K52" s="24" t="str"/>
      <x:c r="L52" s="24" t="str">
        <x:v>官网销售入口。</x:v>
      </x:c>
      <x:c r="M52" s="24" t="str">
        <x:v>不索取</x:v>
      </x:c>
      <x:c r="N52" s="24" t="str">
        <x:v>不联系｜排除库</x:v>
      </x:c>
      <x:c r="O52" s="24" t="str">
        <x:v>采购角色：Reject
关系边界：可能有 talent业务，但当前 seed 没有 finance roster 证据。
依据：没有明确 finance roster，不能计为本轮 supplier。；90天活跃 N/A — route role；E3；核验 2026-09-04T12:41:48+08:00
下一步：不进入本轮供应商池。</x:v>
      </x:c>
      <x:c r="P52" s="24" t="str">
        <x:v>SUP-021</x:v>
      </x:c>
    </x:row>
    <x:row r="53" ht="72" customHeight="1">
      <x:c r="A53" s="24" t="str">
        <x:v>Official web</x:v>
      </x:c>
      <x:c r="B53" s="24" t="str">
        <x:v>WME</x:v>
      </x:c>
      <x:c r="C53" s="24" t="str">
        <x:v>https://www.wmeagency.com/</x:v>
      </x:c>
      <x:c r="D53" s="24" t="str">
        <x:v>英文</x:v>
      </x:c>
      <x:c r="E53" s="24" t="str">
        <x:v>美国（受众地域按原证据置信度）</x:v>
      </x:c>
      <x:c r="F53" s="24" t="str">
        <x:v>Reject</x:v>
      </x:c>
      <x:c r="G53" s="24" t="str">
        <x:v>Retail investing</x:v>
      </x:c>
      <x:c r="H53" s="24" t="str">
        <x:v>—</x:v>
      </x:c>
      <x:c r="I53" s="24" t="str">
        <x:v>Reject</x:v>
      </x:c>
      <x:c r="J53" s="24" t="str">
        <x:v>C2｜Unverified / insufficient</x:v>
      </x:c>
      <x:c r="K53" s="24" t="str"/>
      <x:c r="L53" s="24" t="str">
        <x:v>官网一般业务入口。</x:v>
      </x:c>
      <x:c r="M53" s="24" t="str">
        <x:v>不索取</x:v>
      </x:c>
      <x:c r="N53" s="24" t="str">
        <x:v>不联系｜排除库</x:v>
      </x:c>
      <x:c r="O53" s="24" t="str">
        <x:v>采购角色：Reject
关系边界：综合人才代理。
依据：无公开具名 finance roster，无法作为本轮合格供应商。；90天活跃 N/A — route role；E2；核验 2026-09-04T12:41:48+08:00
下一步：不进入本轮供应商池。</x:v>
      </x:c>
      <x:c r="P53" s="24" t="str">
        <x:v>SUP-006</x:v>
      </x:c>
    </x:row>
    <x:row r="54" ht="72" customHeight="1">
      <x:c r="A54" s="25" t="str">
        <x:v>Web; Short video</x:v>
      </x:c>
      <x:c r="B54" s="25" t="str">
        <x:v>申冉传媒</x:v>
      </x:c>
      <x:c r="C54" s="25" t="str">
        <x:v>https://www.shenranmedia.com/</x:v>
      </x:c>
      <x:c r="D54" s="25" t="str">
        <x:v>中文</x:v>
      </x:c>
      <x:c r="E54" s="25" t="str">
        <x:v>中国内地</x:v>
      </x:c>
      <x:c r="F54" s="25" t="str">
        <x:v>Excluded institution candidate</x:v>
      </x:c>
      <x:c r="G54" s="25" t="str">
        <x:v>Retail investing; Trading/options；财经 IP 孵化</x:v>
      </x:c>
      <x:c r="H54" s="25" t="str">
        <x:v>—</x:v>
      </x:c>
      <x:c r="I54" s="25" t="str">
        <x:v>Reject</x:v>
      </x:c>
      <x:c r="J54" s="25" t="str">
        <x:v>C0｜Rejected — official roster evidence invalid</x:v>
      </x:c>
      <x:c r="K54" s="25" t="str"/>
      <x:c r="L54" s="25" t="str">
        <x:v>Do not contact</x:v>
      </x:c>
      <x:c r="M54" s="25" t="str">
        <x:v>不索取</x:v>
      </x:c>
      <x:c r="N54" s="25" t="str">
        <x:v>不联系｜排除库</x:v>
      </x:c>
      <x:c r="O54" s="25" t="str">
        <x:v>采购角色：Reject
关系边界：Claimed finance MCN; not accepted as a verified supplier
依据：The provider's own page invalidates its displayed case evidence and uses guarantee-style commercial claims; it cannot enter a finance supplier pool on this evidence.；90天活跃 Official site observed; activity does not cure evidence-integrity failure；E3；核验 2026-09-06
下一步：Exclude from rediscovery. Reconsider only after independently verifiable legal identity, current roster contracts/cases, corrected public materials and a documented finance-compliance process.</x:v>
      </x:c>
      <x:c r="P54" s="25" t="str">
        <x:v>CN-SUP-R001</x:v>
      </x:c>
    </x:row>
  </x:sheetData>
  <x:conditionalFormatting sqref="I8:I54">
    <x:cfRule type="containsText" dxfId="4" priority="1" operator="containsText" text="Approve"/>
    <x:cfRule type="containsText" dxfId="5" priority="2" operator="containsText" text="Question"/>
    <x:cfRule type="containsText" dxfId="6" priority="3" operator="containsText" text="Reject"/>
  </x:conditionalFormatting>
  <x:pageMargins left="0.7" right="0.7" top="0.75" bottom="0.75" header="0.3" footer="0.3"/>
  <x:tableParts count="1">
    <x:tablePart xmlns:r="http://schemas.openxmlformats.org/officeDocument/2006/relationships" r:id="Rdd0308daf8784682"/>
  </x:tableParts>
</x:worksheet>
</file>

<file path=xl/worksheets/sheet3.xml><?xml version="1.0" encoding="utf-8"?>
<x:worksheet xmlns:x="http://schemas.openxmlformats.org/spreadsheetml/2006/main">
  <x:sheetPr>
    <x:tabColor rgb="FF7C3AED"/>
  </x:sheetPr>
  <x:sheetViews>
    <x:sheetView showGridLines="0" workbookViewId="0">
      <x:pane xSplit="3" ySplit="5" topLeftCell="D6" activePane="bottomRight" state="frozen"/>
    </x:sheetView>
  </x:sheetViews>
  <x:sheetFormatPr defaultRowHeight="15"/>
  <x:cols>
    <x:col min="1" max="1" width="10" hidden="0" customWidth="1"/>
    <x:col min="2" max="2" width="31" hidden="0" customWidth="1"/>
    <x:col min="3" max="3" width="38" hidden="0" customWidth="1"/>
    <x:col min="4" max="4" width="14" hidden="0" customWidth="1"/>
    <x:col min="5" max="5" width="16" hidden="0" customWidth="1"/>
    <x:col min="6" max="6" width="22" hidden="0" customWidth="1"/>
    <x:col min="7" max="7" width="32" hidden="0" customWidth="1"/>
    <x:col min="8" max="8" width="25" hidden="0" customWidth="1"/>
    <x:col min="9" max="9" width="14" hidden="0" customWidth="1"/>
    <x:col min="10" max="10" width="14" hidden="0" customWidth="1"/>
    <x:col min="11" max="11" width="48" hidden="0" customWidth="1"/>
    <x:col min="12" max="12" width="48" hidden="0" customWidth="1"/>
    <x:col min="13" max="13" width="40" hidden="0" customWidth="1"/>
    <x:col min="14" max="14" width="14" hidden="0" customWidth="1"/>
    <x:col min="15" max="15" width="16" hidden="0" customWidth="1"/>
  </x:cols>
  <x:sheetData>
    <x:row r="1" ht="25" customHeight="1">
      <x:c r="A1" s="3" t="str">
        <x:v>Proxy Root Observation Map｜仅观察，不自动进入采购池</x:v>
      </x:c>
      <x:c r="B1" s="1"/>
      <x:c r="C1" s="1"/>
      <x:c r="D1" s="1"/>
      <x:c r="E1" s="1"/>
      <x:c r="F1" s="1"/>
      <x:c r="G1" s="1"/>
      <x:c r="H1" s="1"/>
      <x:c r="I1" s="1"/>
      <x:c r="J1" s="1"/>
      <x:c r="K1" s="1"/>
      <x:c r="L1" s="1"/>
      <x:c r="M1" s="1"/>
      <x:c r="N1" s="1"/>
      <x:c r="O1" s="1"/>
    </x:row>
    <x:row r="2" ht="25" customHeight="1">
      <x:c r="A2" s="1"/>
      <x:c r="B2" s="1"/>
      <x:c r="C2" s="1"/>
      <x:c r="D2" s="1"/>
      <x:c r="E2" s="1"/>
      <x:c r="F2" s="1"/>
      <x:c r="G2" s="1"/>
      <x:c r="H2" s="1"/>
      <x:c r="I2" s="1"/>
      <x:c r="J2" s="1"/>
      <x:c r="K2" s="1"/>
      <x:c r="L2" s="1"/>
      <x:c r="M2" s="1"/>
      <x:c r="N2" s="1"/>
      <x:c r="O2" s="1"/>
    </x:row>
    <x:row r="3" ht="22" customHeight="1">
      <x:c r="A3" s="5" t="str">
        <x:v>这 12 个账号也保留在 KOL 名单中，但角色明确标记为 Proxy root。零互动只表示本次未观察到，不声称关系不存在。</x:v>
      </x:c>
      <x:c r="B3" s="4"/>
      <x:c r="C3" s="4"/>
      <x:c r="D3" s="4"/>
      <x:c r="E3" s="4"/>
      <x:c r="F3" s="4"/>
      <x:c r="G3" s="4"/>
      <x:c r="H3" s="4"/>
      <x:c r="I3" s="4"/>
      <x:c r="J3" s="4"/>
      <x:c r="K3" s="4"/>
      <x:c r="L3" s="4"/>
      <x:c r="M3" s="4"/>
      <x:c r="N3" s="4"/>
      <x:c r="O3" s="4"/>
    </x:row>
    <x:row r="5" ht="34" customHeight="1">
      <x:c r="A5" s="19" t="str">
        <x:v>平台</x:v>
      </x:c>
      <x:c r="B5" s="19" t="str">
        <x:v>Root</x:v>
      </x:c>
      <x:c r="C5" s="19" t="str">
        <x:v>主页</x:v>
      </x:c>
      <x:c r="D5" s="19" t="str">
        <x:v>粉丝 / 受众</x:v>
      </x:c>
      <x:c r="E5" s="19" t="str">
        <x:v>语言</x:v>
      </x:c>
      <x:c r="F5" s="19" t="str">
        <x:v>市场</x:v>
      </x:c>
      <x:c r="G5" s="19" t="str">
        <x:v>Lane</x:v>
      </x:c>
      <x:c r="H5" s="19" t="str">
        <x:v>观察用途</x:v>
      </x:c>
      <x:c r="I5" s="19" t="str">
        <x:v>当前决定</x:v>
      </x:c>
      <x:c r="J5" s="19" t="str">
        <x:v>90天活跃</x:v>
      </x:c>
      <x:c r="K5" s="19" t="str">
        <x:v>Visibility signal</x:v>
      </x:c>
      <x:c r="L5" s="19" t="str">
        <x:v>Interaction signal</x:v>
      </x:c>
      <x:c r="M5" s="19" t="str">
        <x:v>风险 / 利益关联</x:v>
      </x:c>
      <x:c r="N5" s="19" t="str">
        <x:v>checked_at</x:v>
      </x:c>
      <x:c r="O5" s="19" t="str">
        <x:v>Entity ID</x:v>
      </x:c>
    </x:row>
    <x:row r="6" ht="78" customHeight="1">
      <x:c r="A6" s="24" t="str">
        <x:v>X</x:v>
      </x:c>
      <x:c r="B6" s="24" t="str">
        <x:v>川沐 (@xiaomustock)</x:v>
      </x:c>
      <x:c r="C6" s="24" t="str">
        <x:v>https://x.com/xiaomustock</x:v>
      </x:c>
      <x:c r="D6" s="24" t="n">
        <x:v>281978</x:v>
      </x:c>
      <x:c r="E6" s="24" t="str">
        <x:v>中文</x:v>
      </x:c>
      <x:c r="F6" s="24" t="str">
        <x:v>香港/大中华; 全球/跨境; 美国（内容市场；受众地域为推断）</x:v>
      </x:c>
      <x:c r="G6" s="24" t="str">
        <x:v>Crypto × Equity/新金融；美股/市场评论; Trading/options</x:v>
      </x:c>
      <x:c r="H6" s="24" t="str">
        <x:v>Visibility + interaction 观察</x:v>
      </x:c>
      <x:c r="I6" s="24" t="str">
        <x:v>Approve</x:v>
      </x:c>
      <x:c r="J6" s="24" t="str">
        <x:v>Yes</x:v>
      </x:c>
      <x:c r="K6" s="24" t="str">
        <x:v>角色本身为 proxy root；后续只观察其 following 与公开互动，不因规模自动进入 KOL 池。</x:v>
      </x:c>
      <x:c r="L6" s="24" t="str">
        <x:v>本轮未抓取其关系图。</x:v>
      </x:c>
      <x:c r="M6" s="24" t="str">
        <x:v>存在集中持仓、‘梭哈’等高风险交易表达；该标签限制其品牌投放价值，但不妨碍作为 proxy root 观察。</x:v>
      </x:c>
      <x:c r="N6" s="26" t="str">
        <x:v>2026-09-06</x:v>
      </x:c>
      <x:c r="O6" s="24" t="str">
        <x:v>CRT-017</x:v>
      </x:c>
    </x:row>
    <x:row r="7" ht="78" customHeight="1">
      <x:c r="A7" s="24" t="str">
        <x:v>X</x:v>
      </x:c>
      <x:c r="B7" s="24" t="str">
        <x:v>郭明錤 | Ming-Chi Kuo (@mingchikuo)</x:v>
      </x:c>
      <x:c r="C7" s="24" t="str">
        <x:v>https://x.com/mingchikuo/with_replies?lang=en</x:v>
      </x:c>
      <x:c r="D7" s="24" t="str">
        <x:v>unknown</x:v>
      </x:c>
      <x:c r="E7" s="24" t="str">
        <x:v>英文</x:v>
      </x:c>
      <x:c r="F7" s="24" t="str">
        <x:v>美国; 香港/大中华; 全球/跨境</x:v>
      </x:c>
      <x:c r="G7" s="24" t="str">
        <x:v>美股/市场评论；Fintech/AI Finance</x:v>
      </x:c>
      <x:c r="H7" s="24" t="str">
        <x:v>Visibility + interaction 观察</x:v>
      </x:c>
      <x:c r="I7" s="24" t="str">
        <x:v>Approve</x:v>
      </x:c>
      <x:c r="J7" s="24" t="str">
        <x:v>Unknown</x:v>
      </x:c>
      <x:c r="K7" s="24" t="str">
        <x:v>其本人是 tech/supply-chain proxy root。</x:v>
      </x:c>
      <x:c r="L7" s="24" t="str">
        <x:v>与其他 seed 的直接 X relationships 本轮不可审计。</x:v>
      </x:c>
      <x:c r="M7" s="24" t="str">
        <x:v>分析师合规和雇主政策；预测记录需逐条验证，不能把 analyst 身份等同 campaign endorsement。</x:v>
      </x:c>
      <x:c r="N7" s="26" t="n">
        <x:v>46269.19569444445</x:v>
      </x:c>
      <x:c r="O7" s="24" t="str">
        <x:v>CRT-020</x:v>
      </x:c>
    </x:row>
    <x:row r="8" ht="78" customHeight="1">
      <x:c r="A8" s="24" t="str">
        <x:v>X</x:v>
      </x:c>
      <x:c r="B8" s="24" t="str">
        <x:v>宏观边际 MacroMargin (@MacroMargin)</x:v>
      </x:c>
      <x:c r="C8" s="24" t="str">
        <x:v>https://x.com/MacroMargin</x:v>
      </x:c>
      <x:c r="D8" s="24" t="n">
        <x:v>197413</x:v>
      </x:c>
      <x:c r="E8" s="24" t="str">
        <x:v>中文</x:v>
      </x:c>
      <x:c r="F8" s="24" t="str">
        <x:v>中国内地; 美国; 全球/跨境</x:v>
      </x:c>
      <x:c r="G8" s="24" t="str">
        <x:v>美股/市场评论；Retail investing; Crypto × Equity/新金融</x:v>
      </x:c>
      <x:c r="H8" s="24" t="str">
        <x:v>Visibility + interaction 观察</x:v>
      </x:c>
      <x:c r="I8" s="24" t="str">
        <x:v>Approve</x:v>
      </x:c>
      <x:c r="J8" s="24" t="str">
        <x:v>Yes</x:v>
      </x:c>
      <x:c r="K8" s="24" t="str">
        <x:v>Observed root→candidate current follows: PhyrexNi, kovainvest. Observed candidate→root current follows: PhyrexNi. A follow is a visibility signal, not proof that content was viewed or endorsed.</x:v>
      </x:c>
      <x:c r="L8" s="24" t="str">
        <x:v>No direct reply/mention/quote/repost was observed in the pair-specific 2026-06-07 to 2026-09-05 searches; this is not a claim of absence.</x:v>
      </x:c>
      <x:c r="M8" s="24" t="str">
        <x:v>Creator-owned paid macro research creates a conflict tag but not an exclusion. Reply-heavy latest slice has modest median visible interaction; no severe performance or brand-safety pattern was observed.</x:v>
      </x:c>
      <x:c r="N8" s="26" t="str">
        <x:v>2026-09-06</x:v>
      </x:c>
      <x:c r="O8" s="24" t="str">
        <x:v>CN-X2-009</x:v>
      </x:c>
    </x:row>
    <x:row r="9" ht="78" customHeight="1">
      <x:c r="A9" s="24" t="str">
        <x:v>X</x:v>
      </x:c>
      <x:c r="B9" s="24" t="str">
        <x:v>外汇交易员 (@fxtrader)</x:v>
      </x:c>
      <x:c r="C9" s="24" t="str">
        <x:v>https://x.com/fxtrader</x:v>
      </x:c>
      <x:c r="D9" s="24" t="n">
        <x:v>404193</x:v>
      </x:c>
      <x:c r="E9" s="24" t="str">
        <x:v>中文</x:v>
      </x:c>
      <x:c r="F9" s="24" t="str">
        <x:v>中国内地; 美国; 全球/跨境</x:v>
      </x:c>
      <x:c r="G9" s="24" t="str">
        <x:v>美股/市场评论；Trading/options</x:v>
      </x:c>
      <x:c r="H9" s="24" t="str">
        <x:v>Visibility + interaction 观察</x:v>
      </x:c>
      <x:c r="I9" s="24" t="str">
        <x:v>Approve</x:v>
      </x:c>
      <x:c r="J9" s="24" t="str">
        <x:v>Yes</x:v>
      </x:c>
      <x:c r="K9" s="24" t="str">
        <x:v>Observed root→candidate current follows: PhyrexNi, xiaomustock. Observed candidate→root current follows: PhyrexNi. A follow is a visibility signal, not proof of viewing or endorsement.</x:v>
      </x:c>
      <x:c r="L9" s="24" t="str">
        <x:v>No direct reply/mention/quote/repost was observed in the pair-specific query window; this is not a claim of absence.</x:v>
      </x:c>
      <x:c r="M9" s="24" t="str">
        <x:v>Most recent output is fast news/data curation and attributed or unattributed paraphrase rather than durable original investment analysis. Geopolitics and breaking-news volume dilute creator suitability; no severe perfor…</x:v>
      </x:c>
      <x:c r="N9" s="26" t="str">
        <x:v>2026-09-06</x:v>
      </x:c>
      <x:c r="O9" s="24" t="str">
        <x:v>CN-X3-002</x:v>
      </x:c>
    </x:row>
    <x:row r="10" ht="78" customHeight="1">
      <x:c r="A10" s="24" t="str">
        <x:v>X</x:v>
      </x:c>
      <x:c r="B10" s="24" t="str">
        <x:v>午饭投资 (@wufantouzi)</x:v>
      </x:c>
      <x:c r="C10" s="24" t="str">
        <x:v>https://x.com/wufantouzi</x:v>
      </x:c>
      <x:c r="D10" s="24" t="n">
        <x:v>134347</x:v>
      </x:c>
      <x:c r="E10" s="24" t="str">
        <x:v>中文</x:v>
      </x:c>
      <x:c r="F10" s="24" t="str">
        <x:v>香港/大中华; 中国内地; 美国（内容市场）; 全球/跨境</x:v>
      </x:c>
      <x:c r="G10" s="24" t="str">
        <x:v>美股/市场评论；Crypto × Equity/新金融; Trading/options</x:v>
      </x:c>
      <x:c r="H10" s="24" t="str">
        <x:v>Visibility + interaction 观察</x:v>
      </x:c>
      <x:c r="I10" s="24" t="str">
        <x:v>Approve</x:v>
      </x:c>
      <x:c r="J10" s="24" t="str">
        <x:v>Yes</x:v>
      </x:c>
      <x:c r="K10" s="24" t="str">
        <x:v>Observed root→candidate current follows: PhyrexNi, xiaomustock. A follow is a visibility signal, not proof of viewing or endorsement.</x:v>
      </x:c>
      <x:c r="L10" s="24" t="str">
        <x:v>Observed 1 unique direct interaction events (2 typed edges): xiaomustock→wufantouzi reply+mention https://x.com/xiaomustock/status/2068258650624565488. These are interaction signals, not proof of endorsement.</x:v>
      </x:c>
      <x:c r="M10" s="24" t="str">
        <x:v>Direct holdings and owned-fund conflict; repeated 5x–20x personal track-record references, WRK +70% promotion, high-conviction CRCL calls and language such as 90%-chance/11x/bet-net-worth. These are acceptable as observ…</x:v>
      </x:c>
      <x:c r="N10" s="26" t="str">
        <x:v>2026-09-06</x:v>
      </x:c>
      <x:c r="O10" s="24" t="str">
        <x:v>CN-X3-001</x:v>
      </x:c>
    </x:row>
    <x:row r="11" ht="78" customHeight="1">
      <x:c r="A11" s="24" t="str">
        <x:v>X</x:v>
      </x:c>
      <x:c r="B11" s="24" t="str">
        <x:v>AB Kuai.Dong (@_FORAB)</x:v>
      </x:c>
      <x:c r="C11" s="24" t="str">
        <x:v>https://x.com/_FORAB</x:v>
      </x:c>
      <x:c r="D11" s="24" t="n">
        <x:v>142314</x:v>
      </x:c>
      <x:c r="E11" s="24" t="str">
        <x:v>中文</x:v>
      </x:c>
      <x:c r="F11" s="24" t="str">
        <x:v>全球/跨境; 美国; 大中华</x:v>
      </x:c>
      <x:c r="G11" s="24" t="str">
        <x:v>Fintech/AI Finance；Crypto × Equity/新金融; 美股/市场评论</x:v>
      </x:c>
      <x:c r="H11" s="24" t="str">
        <x:v>Visibility + interaction 观察</x:v>
      </x:c>
      <x:c r="I11" s="24" t="str">
        <x:v>Approve</x:v>
      </x:c>
      <x:c r="J11" s="24" t="str">
        <x:v>Yes</x:v>
      </x:c>
      <x:c r="K11" s="24" t="str">
        <x:v>Observed root→candidate current follows: PhyrexNi, kovainvest, xiaomustock. Observed candidate→root current follows: PhyrexNi, xiaomustock. A follow is a visibility signal, not proof that content was viewed or endorsed.</x:v>
      </x:c>
      <x:c r="L11" s="24" t="str">
        <x:v>Observed 3 unique direct interaction events (5 typed edges): PhyrexNi→_FORAB reply+mention https://x.com/PhyrexNi/status/2096236625185693767; PhyrexNi→_FORAB mention https://x.com/PhyrexNi/status/2074066056453423392; xiaomustock→_FORAB reply+mention https://x.com/xiaomustock/status/2090675018468585710. These are interaction signals, not …</x:v>
      </x:c>
      <x:c r="M11" s="24" t="str">
        <x:v>Recent output is broad technology, business, geopolitics and lifestyle rather than a consistently finance-first feed. Crypto-industry adjacency requires campaign conflict review; no severe performance-marketing pattern …</x:v>
      </x:c>
      <x:c r="N11" s="26" t="str">
        <x:v>2026-09-06</x:v>
      </x:c>
      <x:c r="O11" s="24" t="str">
        <x:v>CN-X2-001</x:v>
      </x:c>
    </x:row>
    <x:row r="12" ht="78" customHeight="1">
      <x:c r="A12" s="24" t="str">
        <x:v>X</x:v>
      </x:c>
      <x:c r="B12" s="24" t="str">
        <x:v>Charlie Bilello (@charliebilello)</x:v>
      </x:c>
      <x:c r="C12" s="24" t="str">
        <x:v>https://creativeplanning.com/team/charlie-bilello/</x:v>
      </x:c>
      <x:c r="D12" s="24" t="str">
        <x:v>unknown</x:v>
      </x:c>
      <x:c r="E12" s="24" t="str">
        <x:v>英文</x:v>
      </x:c>
      <x:c r="F12" s="24" t="str">
        <x:v>美国（受众地域按原证据置信度）</x:v>
      </x:c>
      <x:c r="G12" s="24" t="str">
        <x:v>美股/市场评论；Retail investing</x:v>
      </x:c>
      <x:c r="H12" s="24" t="str">
        <x:v>Visibility + interaction 观察</x:v>
      </x:c>
      <x:c r="I12" s="24" t="str">
        <x:v>Approve</x:v>
      </x:c>
      <x:c r="J12" s="24" t="str">
        <x:v>Unknown</x:v>
      </x:c>
      <x:c r="K12" s="24" t="str">
        <x:v>其本人作为 market-strategy root；不是默认投放 creator。</x:v>
      </x:c>
      <x:c r="L12" s="24" t="str">
        <x:v>待第二阶段以已批准 creator 测其 follow/reply/quote/mention；本轮未扩张 graph。</x:v>
      </x:c>
      <x:c r="M12" s="24" t="str">
        <x:v>机构雇佣/合规边界；不得把公司客户入口当 creator 商务入口。</x:v>
      </x:c>
      <x:c r="N12" s="26" t="n">
        <x:v>46269.19569444445</x:v>
      </x:c>
      <x:c r="O12" s="24" t="str">
        <x:v>CRT-013</x:v>
      </x:c>
    </x:row>
    <x:row r="13" ht="78" customHeight="1">
      <x:c r="A13" s="24" t="str">
        <x:v>X</x:v>
      </x:c>
      <x:c r="B13" s="24" t="str">
        <x:v>Corey Hoffstein</x:v>
      </x:c>
      <x:c r="C13" s="24" t="str">
        <x:v>https://blog.thinknewfound.com/author/choffstein/</x:v>
      </x:c>
      <x:c r="D13" s="24" t="str">
        <x:v>unknown</x:v>
      </x:c>
      <x:c r="E13" s="24" t="str">
        <x:v>英文</x:v>
      </x:c>
      <x:c r="F13" s="24" t="str">
        <x:v>美国（受众地域按原证据置信度）</x:v>
      </x:c>
      <x:c r="G13" s="24" t="str">
        <x:v>Trading/options；美股/市场评论</x:v>
      </x:c>
      <x:c r="H13" s="24" t="str">
        <x:v>Visibility + interaction 观察</x:v>
      </x:c>
      <x:c r="I13" s="24" t="str">
        <x:v>Approve</x:v>
      </x:c>
      <x:c r="J13" s="24" t="str">
        <x:v>Unknown</x:v>
      </x:c>
      <x:c r="K13" s="24" t="str">
        <x:v>其本人作为 quant/derivatives root。</x:v>
      </x:c>
      <x:c r="L13" s="24" t="str">
        <x:v>与其他 seed 的 X/podcast relationship 未完成。</x:v>
      </x:c>
      <x:c r="M13" s="24" t="str">
        <x:v>机构研究者，不应被误写成可直接投放 KOL。</x:v>
      </x:c>
      <x:c r="N13" s="26" t="n">
        <x:v>46269.19569444445</x:v>
      </x:c>
      <x:c r="O13" s="24" t="str">
        <x:v>CRT-014</x:v>
      </x:c>
    </x:row>
    <x:row r="14" ht="78" customHeight="1">
      <x:c r="A14" s="24" t="str">
        <x:v>X</x:v>
      </x:c>
      <x:c r="B14" s="24" t="str">
        <x:v>fin (@fi56622380)</x:v>
      </x:c>
      <x:c r="C14" s="24" t="str">
        <x:v>https://x.com/fi56622380</x:v>
      </x:c>
      <x:c r="D14" s="24" t="n">
        <x:v>77218</x:v>
      </x:c>
      <x:c r="E14" s="24" t="str">
        <x:v>中文</x:v>
      </x:c>
      <x:c r="F14" s="24" t="str">
        <x:v>美国（content proxy）; 香港/大中华; 全球/跨境</x:v>
      </x:c>
      <x:c r="G14" s="24" t="str">
        <x:v>Fintech/AI Finance；美股/市场评论</x:v>
      </x:c>
      <x:c r="H14" s="24" t="str">
        <x:v>Visibility + interaction 观察</x:v>
      </x:c>
      <x:c r="I14" s="24" t="str">
        <x:v>Approve</x:v>
      </x:c>
      <x:c r="J14" s="24" t="str">
        <x:v>Yes</x:v>
      </x:c>
      <x:c r="K14" s="24" t="str">
        <x:v>Observed mutual current follow with @mingchikuo in full following snapshots.</x:v>
      </x:c>
      <x:c r="L14" s="24" t="str">
        <x:v>No direct fin↔three-root interaction was observed in the pair-specific RapidAPI search window; this is not a claim of absence.</x:v>
      </x:c>
      <x:c r="M14" s="24" t="str">
        <x:v>Sparse output; self-described technical credentials were not independently verified. No severe commercial or brand-safety pattern was observed in the small recent sample.</x:v>
      </x:c>
      <x:c r="N14" s="26" t="str">
        <x:v>2026-09-06</x:v>
      </x:c>
      <x:c r="O14" s="24" t="str">
        <x:v>CN-X-008</x:v>
      </x:c>
    </x:row>
    <x:row r="15" ht="78" customHeight="1">
      <x:c r="A15" s="24" t="str">
        <x:v>X</x:v>
      </x:c>
      <x:c r="B15" s="24" t="str">
        <x:v>Phyrex（倪大） (@PhyrexNi)</x:v>
      </x:c>
      <x:c r="C15" s="24" t="str">
        <x:v>https://x.com/PhyrexNi</x:v>
      </x:c>
      <x:c r="D15" s="24" t="n">
        <x:v>404552</x:v>
      </x:c>
      <x:c r="E15" s="24" t="str">
        <x:v>中文</x:v>
      </x:c>
      <x:c r="F15" s="24" t="str">
        <x:v>美国（内容市场）; 香港/大中华; 全球/跨境</x:v>
      </x:c>
      <x:c r="G15" s="24" t="str">
        <x:v>美股/市场评论；Fintech/AI Finance; Crypto × Equity/新金融</x:v>
      </x:c>
      <x:c r="H15" s="24" t="str">
        <x:v>Visibility + interaction 观察</x:v>
      </x:c>
      <x:c r="I15" s="24" t="str">
        <x:v>Approve</x:v>
      </x:c>
      <x:c r="J15" s="24" t="str">
        <x:v>Yes</x:v>
      </x:c>
      <x:c r="K15" s="24" t="str">
        <x:v>Observed mutual current follow with @mingchikuo in full following snapshots.</x:v>
      </x:c>
      <x:c r="L15" s="24" t="str">
        <x:v>No direct PhyrexNi↔three-root interaction was observed in the pair-specific RapidAPI search window; this is not a claim of absence.</x:v>
      </x:c>
      <x:c r="M15" s="24" t="str">
        <x:v>Dense exchange/affiliate adjacency; positions and performance language; mixed crypto/equity remit. No verified guaranteed-return claim was observed in this audit.</x:v>
      </x:c>
      <x:c r="N15" s="26" t="str">
        <x:v>2026-09-06</x:v>
      </x:c>
      <x:c r="O15" s="24" t="str">
        <x:v>CN-X-001</x:v>
      </x:c>
    </x:row>
    <x:row r="16" ht="78" customHeight="1">
      <x:c r="A16" s="24" t="str">
        <x:v>X</x:v>
      </x:c>
      <x:c r="B16" s="24" t="str">
        <x:v>Serenity (@aleabitoreddit)</x:v>
      </x:c>
      <x:c r="C16" s="24" t="str">
        <x:v>https://x.com/aleabitoreddit</x:v>
      </x:c>
      <x:c r="D16" s="24" t="n">
        <x:v>1026992</x:v>
      </x:c>
      <x:c r="E16" s="24" t="str">
        <x:v>中文; 英文</x:v>
      </x:c>
      <x:c r="F16" s="24" t="str">
        <x:v>美国（内容市场）; 香港/大中华; 全球/跨境</x:v>
      </x:c>
      <x:c r="G16" s="24" t="str">
        <x:v>美股/市场评论；Fintech/AI Finance</x:v>
      </x:c>
      <x:c r="H16" s="24" t="str">
        <x:v>Visibility + interaction 观察</x:v>
      </x:c>
      <x:c r="I16" s="24" t="str">
        <x:v>Approve</x:v>
      </x:c>
      <x:c r="J16" s="24" t="str">
        <x:v>Yes</x:v>
      </x:c>
      <x:c r="K16" s="24" t="str">
        <x:v>Observed mutual current follow with @mingchikuo in full following snapshots.</x:v>
      </x:c>
      <x:c r="L16" s="24" t="str">
        <x:v>No direct Serenity↔three-root interaction was observed in the pair-specific RapidAPI search window; this is not a claim of absence.</x:v>
      </x:c>
      <x:c r="M16" s="24" t="str">
        <x:v>Self-reported extraordinary YTD performance; very rapid audience growth from a 2025-created account requires audience-quality validation before any future paid use. Neither point alone proves misconduct or inauthentic f…</x:v>
      </x:c>
      <x:c r="N16" s="26" t="str">
        <x:v>2026-09-06</x:v>
      </x:c>
      <x:c r="O16" s="24" t="str">
        <x:v>CN-X-003</x:v>
      </x:c>
    </x:row>
    <x:row r="17" ht="78" customHeight="1">
      <x:c r="A17" s="25" t="str">
        <x:v>X</x:v>
      </x:c>
      <x:c r="B17" s="25" t="str">
        <x:v>Vida (@Vida_BWE)</x:v>
      </x:c>
      <x:c r="C17" s="25" t="str">
        <x:v>https://x.com/Vida_BWE</x:v>
      </x:c>
      <x:c r="D17" s="25" t="n">
        <x:v>78055</x:v>
      </x:c>
      <x:c r="E17" s="25" t="str">
        <x:v>English; 中文 unknown</x:v>
      </x:c>
      <x:c r="F17" s="25" t="str">
        <x:v>全球/跨境; 美国 unknown</x:v>
      </x:c>
      <x:c r="G17" s="25" t="str">
        <x:v>Trading/options；Crypto × Equity/新金融</x:v>
      </x:c>
      <x:c r="H17" s="25" t="str">
        <x:v>Visibility + interaction 观察</x:v>
      </x:c>
      <x:c r="I17" s="25" t="str">
        <x:v>Question</x:v>
      </x:c>
      <x:c r="J17" s="25" t="str">
        <x:v>Unknown — protected account/source visibility gap</x:v>
      </x:c>
      <x:c r="K17" s="25" t="str">
        <x:v>Observed root→candidate current follows: PhyrexNi, kovainvest, xiaomustock. A follow is a visibility signal, not proof that content was viewed or endorsed.</x:v>
      </x:c>
      <x:c r="L17" s="25" t="str">
        <x:v>Public inbound mentions were observed, but no protected account-authored reply/quote/mention/repost stream was accessible. This does not establish or disprove a reciprocal interaction bridge.</x:v>
      </x:c>
      <x:c r="M17" s="25" t="str">
        <x:v>Profile self-identifies as a prop-trading firm founder, but current content and the firm relationship cannot be independently audited. Protected-source zeros must not be treated as inactivity or absence.</x:v>
      </x:c>
      <x:c r="N17" s="27" t="str">
        <x:v>2026-09-06</x:v>
      </x:c>
      <x:c r="O17" s="25" t="str">
        <x:v>CN-X2-003</x:v>
      </x:c>
    </x:row>
  </x:sheetData>
  <x:conditionalFormatting sqref="I6:I17">
    <x:cfRule type="containsText" dxfId="7" priority="1" operator="containsText" text="Approve"/>
    <x:cfRule type="containsText" dxfId="8" priority="2" operator="containsText" text="Question"/>
    <x:cfRule type="containsText" dxfId="9" priority="3" operator="containsText" text="Reject"/>
  </x:conditionalFormatting>
  <x:pageMargins left="0.7" right="0.7" top="0.75" bottom="0.75" header="0.3" footer="0.3"/>
  <x:tableParts count="1">
    <x:tablePart xmlns:r="http://schemas.openxmlformats.org/officeDocument/2006/relationships" r:id="Re3893a94877a4a26"/>
  </x:tableParts>
</x:worksheet>
</file>

<file path=xl/worksheets/sheet4.xml><?xml version="1.0" encoding="utf-8"?>
<x:worksheet xmlns:x="http://schemas.openxmlformats.org/spreadsheetml/2006/main">
  <x:sheetPr>
    <x:tabColor rgb="FFF59E0B"/>
  </x:sheetPr>
  <x:sheetViews>
    <x:sheetView showGridLines="0" workbookViewId="0">
      <x:pane ySplit="5" topLeftCell="A6" activePane="bottomLeft" state="frozen"/>
    </x:sheetView>
  </x:sheetViews>
  <x:sheetFormatPr defaultRowHeight="15"/>
  <x:cols>
    <x:col min="1" max="1" width="28" hidden="0" customWidth="1"/>
    <x:col min="2" max="2" width="95" hidden="0" customWidth="1"/>
    <x:col min="3" max="3" width="24" hidden="0" customWidth="1"/>
    <x:col min="4" max="4" width="24" hidden="0" customWidth="1"/>
  </x:cols>
  <x:sheetData>
    <x:row r="1" ht="25" customHeight="1">
      <x:c r="A1" s="3" t="str">
        <x:v>名单口径与当前真实状态</x:v>
      </x:c>
      <x:c r="B1" s="1"/>
      <x:c r="C1" s="1"/>
      <x:c r="D1" s="1"/>
    </x:row>
    <x:row r="2" ht="25" customHeight="1">
      <x:c r="A2" s="1"/>
      <x:c r="B2" s="1"/>
      <x:c r="C2" s="1"/>
      <x:c r="D2" s="1"/>
    </x:row>
    <x:row r="3" ht="22" customHeight="1">
      <x:c r="A3" s="5" t="str">
        <x:v>用于避免把 proxy root、独立 KOL、creator-led media 与 supplier/agency 混在一起。</x:v>
      </x:c>
      <x:c r="B3" s="4"/>
      <x:c r="C3" s="4"/>
      <x:c r="D3" s="4"/>
    </x:row>
    <x:row r="5" ht="34" customHeight="1">
      <x:c r="A5" s="19" t="str">
        <x:v>术语 / KPI</x:v>
      </x:c>
      <x:c r="B5" s="19" t="str">
        <x:v>含义</x:v>
      </x:c>
      <x:c r="C5" s="19" t="str">
        <x:v>当前值 / 位置</x:v>
      </x:c>
      <x:c r="D5" s="19" t="str">
        <x:v>状态</x:v>
      </x:c>
    </x:row>
    <x:row r="6" ht="48" customHeight="1">
      <x:c r="A6" s="24" t="str">
        <x:v>总池</x:v>
      </x:c>
      <x:c r="B6" s="24" t="str">
        <x:v>148 个唯一 Entity ID：101 个非机构账号 + 47 个机构。Proxy Roots 单独视图是 12 个非机构账号的重复展示，不新增对象。</x:v>
      </x:c>
      <x:c r="C6" s="24" t="str">
        <x:v>148</x:v>
      </x:c>
      <x:c r="D6" s="24" t="str">
        <x:v>已核对</x:v>
      </x:c>
    </x:row>
    <x:row r="7" ht="48" customHeight="1">
      <x:c r="A7" s="24" t="str">
        <x:v>独立 KOL / creator</x:v>
      </x:c>
      <x:c r="B7" s="24" t="str">
        <x:v>个人账号与其受众是核心资产；可直接联系本人公开商务入口，也可能经 manager/agency 采购。</x:v>
      </x:c>
      <x:c r="C7" s="24" t="str">
        <x:v>KOL名单</x:v>
      </x:c>
      <x:c r="D7" s="24" t="str">
        <x:v>与机构分开</x:v>
      </x:c>
    </x:row>
    <x:row r="8" ht="48" customHeight="1">
      <x:c r="A8" s="24" t="str">
        <x:v>Creator-led media</x:v>
      </x:c>
      <x:c r="B8" s="24" t="str">
        <x:v>个人主导的 Newsletter、Podcast 或媒体 IP；仍放在 KOL 名单，不等于 agency。</x:v>
      </x:c>
      <x:c r="C8" s="24" t="str">
        <x:v>KOL名单</x:v>
      </x:c>
      <x:c r="D8" s="24" t="str">
        <x:v>角色已标记</x:v>
      </x:c>
    </x:row>
    <x:row r="9" ht="48" customHeight="1">
      <x:c r="A9" s="24" t="str">
        <x:v>Proxy root</x:v>
      </x:c>
      <x:c r="B9" s="24" t="str">
        <x:v>用于观察目标受众的信息流、共同关注与互动；不因权威或粉丝量自动成为付费 KOL。</x:v>
      </x:c>
      <x:c r="C9" s="24" t="str">
        <x:v>12</x:v>
      </x:c>
      <x:c r="D9" s="24" t="str">
        <x:v>仅观察</x:v>
      </x:c>
    </x:row>
    <x:row r="10" ht="48" customHeight="1">
      <x:c r="A10" s="24" t="str">
        <x:v>机构 / supplier</x:v>
      </x:c>
      <x:c r="B10" s="24" t="str">
        <x:v>Agency、MCN、manager、媒体网络和 creator supplier；需核 roster 与关系权限。</x:v>
      </x:c>
      <x:c r="C10" s="24" t="str">
        <x:v>47</x:v>
      </x:c>
      <x:c r="D10" s="24" t="str">
        <x:v>机构名单</x:v>
      </x:c>
    </x:row>
    <x:row r="11" ht="48" customHeight="1">
      <x:c r="A11" s="24" t="str">
        <x:v>Outreach Ready</x:v>
      </x:c>
      <x:c r="B11" s="24" t="str">
        <x:v>已有可执行的公开商务路线并完成最低限度验证，但尚未获得你的发送授权。</x:v>
      </x:c>
      <x:c r="C11" s="24" t="str">
        <x:v>60</x:v>
      </x:c>
      <x:c r="D11" s="24" t="str">
        <x:v>未发送</x:v>
      </x:c>
    </x:row>
    <x:row r="12" ht="48" customHeight="1">
      <x:c r="A12" s="24" t="str">
        <x:v>已联系 / 有效回复</x:v>
      </x:c>
      <x:c r="B12" s="24" t="str">
        <x:v>必须存在可归因的真实发送和回复记录。</x:v>
      </x:c>
      <x:c r="C12" s="24" t="str">
        <x:v>0 / 0</x:v>
      </x:c>
      <x:c r="D12" s="24" t="str">
        <x:v>当前没有</x:v>
      </x:c>
    </x:row>
    <x:row r="13" ht="48" customHeight="1">
      <x:c r="A13" s="24" t="str">
        <x:v>已获报价 / rate card</x:v>
      </x:c>
      <x:c r="B13" s="24" t="str">
        <x:v>只认真实回复或文件。没有真实报价时，报价列留空。</x:v>
      </x:c>
      <x:c r="C13" s="24" t="str">
        <x:v>0</x:v>
      </x:c>
      <x:c r="D13" s="24" t="str">
        <x:v>当前没有</x:v>
      </x:c>
    </x:row>
    <x:row r="14" ht="48" customHeight="1">
      <x:c r="A14" s="25" t="str">
        <x:v>已获 roster</x:v>
      </x:c>
      <x:c r="B14" s="25" t="str">
        <x:v>只认机构回复或可核验文件，并继续标记 managed / represented / direct access / resale。</x:v>
      </x:c>
      <x:c r="C14" s="25" t="str">
        <x:v>0</x:v>
      </x:c>
      <x:c r="D14" s="25" t="str">
        <x:v>当前没有</x:v>
      </x:c>
    </x:row>
  </x:sheetData>
  <x:pageMargins left="0.7" right="0.7" top="0.75" bottom="0.75" header="0.3" footer="0.3"/>
  <x:tableParts count="1">
    <x:tablePart xmlns:r="http://schemas.openxmlformats.org/officeDocument/2006/relationships" r:id="R4778be69e61347e5"/>
  </x:tableParts>
</x:worksheet>
</file>